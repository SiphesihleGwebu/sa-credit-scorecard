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iphesihlegwebu/Documents/"/>
    </mc:Choice>
  </mc:AlternateContent>
  <xr:revisionPtr revIDLastSave="0" documentId="13_ncr:1_{B541E7B1-C65B-364D-B9C4-92BB40FCB630}" xr6:coauthVersionLast="47" xr6:coauthVersionMax="47" xr10:uidLastSave="{00000000-0000-0000-0000-000000000000}"/>
  <bookViews>
    <workbookView xWindow="0" yWindow="740" windowWidth="30240" windowHeight="18900" tabRatio="500" activeTab="2" xr2:uid="{00000000-000D-0000-FFFF-FFFF00000000}"/>
  </bookViews>
  <sheets>
    <sheet name="Assumptions" sheetId="1" r:id="rId1"/>
    <sheet name="Inputs" sheetId="2" r:id="rId2"/>
    <sheet name="Scorecard Logic" sheetId="3" r:id="rId3"/>
    <sheet name="Decision Output" sheetId="4" r:id="rId4"/>
    <sheet name="Dashboard Data" sheetId="5" r:id="rId5"/>
    <sheet name="READM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1" l="1"/>
  <c r="N5" i="2" s="1"/>
  <c r="O5" i="2" s="1"/>
  <c r="C33" i="3" s="1"/>
  <c r="N7" i="2"/>
  <c r="O7" i="2" s="1"/>
  <c r="N8" i="2"/>
  <c r="O8" i="2" s="1"/>
  <c r="N9" i="2"/>
  <c r="O9" i="2" s="1"/>
  <c r="N10" i="2"/>
  <c r="O10" i="2" s="1"/>
  <c r="N11" i="2"/>
  <c r="O11" i="2" s="1"/>
  <c r="F11" i="4" s="1"/>
  <c r="N12" i="2"/>
  <c r="O12" i="2" s="1"/>
  <c r="N13" i="2"/>
  <c r="P13" i="2" s="1"/>
  <c r="N14" i="2"/>
  <c r="O14" i="2" s="1"/>
  <c r="N15" i="2"/>
  <c r="O15" i="2" s="1"/>
  <c r="N16" i="2"/>
  <c r="P16" i="2" s="1"/>
  <c r="D44" i="3" s="1"/>
  <c r="N17" i="2"/>
  <c r="O17" i="2" s="1"/>
  <c r="C45" i="3" s="1"/>
  <c r="N18" i="2"/>
  <c r="N19" i="2"/>
  <c r="N20" i="2"/>
  <c r="N21" i="2"/>
  <c r="O21" i="2" s="1"/>
  <c r="N22" i="2"/>
  <c r="P22" i="2" s="1"/>
  <c r="N23" i="2"/>
  <c r="O23" i="2" s="1"/>
  <c r="F23" i="4" s="1"/>
  <c r="N24" i="2"/>
  <c r="O24" i="2" s="1"/>
  <c r="N25" i="2"/>
  <c r="P25" i="2" s="1"/>
  <c r="N26" i="2"/>
  <c r="O26" i="2" s="1"/>
  <c r="N27" i="2"/>
  <c r="O27" i="2" s="1"/>
  <c r="F27" i="4" s="1"/>
  <c r="N28" i="2"/>
  <c r="P28" i="2" s="1"/>
  <c r="D56" i="3" s="1"/>
  <c r="N29" i="2"/>
  <c r="O29" i="2" s="1"/>
  <c r="C57" i="3" s="1"/>
  <c r="N30" i="2"/>
  <c r="N31" i="2"/>
  <c r="P31" i="2" s="1"/>
  <c r="N32" i="2"/>
  <c r="O32" i="2" s="1"/>
  <c r="C60" i="3" s="1"/>
  <c r="N33" i="2"/>
  <c r="O33" i="2" s="1"/>
  <c r="N4" i="2"/>
  <c r="O4" i="2" s="1"/>
  <c r="E60" i="3"/>
  <c r="F60" i="3"/>
  <c r="B60" i="3"/>
  <c r="O30" i="2"/>
  <c r="G24" i="5"/>
  <c r="G23" i="5"/>
  <c r="G22" i="5"/>
  <c r="G21" i="5"/>
  <c r="G20" i="5"/>
  <c r="G19" i="5"/>
  <c r="G18" i="5"/>
  <c r="B15" i="5"/>
  <c r="I33" i="4"/>
  <c r="H33" i="4"/>
  <c r="E33" i="4"/>
  <c r="I32" i="4"/>
  <c r="H32" i="4"/>
  <c r="E32" i="4"/>
  <c r="I31" i="4"/>
  <c r="H31" i="4"/>
  <c r="E31" i="4"/>
  <c r="I30" i="4"/>
  <c r="H30" i="4"/>
  <c r="E30" i="4"/>
  <c r="I29" i="4"/>
  <c r="H29" i="4"/>
  <c r="E29" i="4"/>
  <c r="I28" i="4"/>
  <c r="H28" i="4"/>
  <c r="E28" i="4"/>
  <c r="I27" i="4"/>
  <c r="H27" i="4"/>
  <c r="E27" i="4"/>
  <c r="I26" i="4"/>
  <c r="H26" i="4"/>
  <c r="E26" i="4"/>
  <c r="I25" i="4"/>
  <c r="H25" i="4"/>
  <c r="E25" i="4"/>
  <c r="I24" i="4"/>
  <c r="H24" i="4"/>
  <c r="E24" i="4"/>
  <c r="I23" i="4"/>
  <c r="H23" i="4"/>
  <c r="E23" i="4"/>
  <c r="I22" i="4"/>
  <c r="H22" i="4"/>
  <c r="E22" i="4"/>
  <c r="I21" i="4"/>
  <c r="H21" i="4"/>
  <c r="E21" i="4"/>
  <c r="I20" i="4"/>
  <c r="H20" i="4"/>
  <c r="E20" i="4"/>
  <c r="I19" i="4"/>
  <c r="H19" i="4"/>
  <c r="E19" i="4"/>
  <c r="I18" i="4"/>
  <c r="H18" i="4"/>
  <c r="E18" i="4"/>
  <c r="I17" i="4"/>
  <c r="H17" i="4"/>
  <c r="E17" i="4"/>
  <c r="I16" i="4"/>
  <c r="H16" i="4"/>
  <c r="E16" i="4"/>
  <c r="I15" i="4"/>
  <c r="H15" i="4"/>
  <c r="E15" i="4"/>
  <c r="I14" i="4"/>
  <c r="H14" i="4"/>
  <c r="E14" i="4"/>
  <c r="I13" i="4"/>
  <c r="H13" i="4"/>
  <c r="E13" i="4"/>
  <c r="I12" i="4"/>
  <c r="H12" i="4"/>
  <c r="E12" i="4"/>
  <c r="I11" i="4"/>
  <c r="H11" i="4"/>
  <c r="E11" i="4"/>
  <c r="I10" i="4"/>
  <c r="H10" i="4"/>
  <c r="E10" i="4"/>
  <c r="I9" i="4"/>
  <c r="H9" i="4"/>
  <c r="E9" i="4"/>
  <c r="I8" i="4"/>
  <c r="H8" i="4"/>
  <c r="E8" i="4"/>
  <c r="I7" i="4"/>
  <c r="H7" i="4"/>
  <c r="E7" i="4"/>
  <c r="I6" i="4"/>
  <c r="H6" i="4"/>
  <c r="E6" i="4"/>
  <c r="I5" i="4"/>
  <c r="H5" i="4"/>
  <c r="E5" i="4"/>
  <c r="I4" i="4"/>
  <c r="H4" i="4"/>
  <c r="E4" i="4"/>
  <c r="G61" i="3"/>
  <c r="F61" i="3"/>
  <c r="E61" i="3"/>
  <c r="B61" i="3"/>
  <c r="A61" i="3"/>
  <c r="A33" i="4" s="1"/>
  <c r="G60" i="3"/>
  <c r="A60" i="3"/>
  <c r="A32" i="4" s="1"/>
  <c r="G59" i="3"/>
  <c r="F59" i="3"/>
  <c r="E59" i="3"/>
  <c r="B59" i="3"/>
  <c r="A59" i="3"/>
  <c r="A31" i="4" s="1"/>
  <c r="G58" i="3"/>
  <c r="F58" i="3"/>
  <c r="E58" i="3"/>
  <c r="B58" i="3"/>
  <c r="A58" i="3"/>
  <c r="A30" i="4" s="1"/>
  <c r="G57" i="3"/>
  <c r="F57" i="3"/>
  <c r="E57" i="3"/>
  <c r="B57" i="3"/>
  <c r="A57" i="3"/>
  <c r="A29" i="4" s="1"/>
  <c r="G56" i="3"/>
  <c r="F56" i="3"/>
  <c r="E56" i="3"/>
  <c r="B56" i="3"/>
  <c r="A56" i="3"/>
  <c r="A28" i="4" s="1"/>
  <c r="G55" i="3"/>
  <c r="F55" i="3"/>
  <c r="E55" i="3"/>
  <c r="B55" i="3"/>
  <c r="A55" i="3"/>
  <c r="A27" i="4" s="1"/>
  <c r="G54" i="3"/>
  <c r="F54" i="3"/>
  <c r="E54" i="3"/>
  <c r="B54" i="3"/>
  <c r="A54" i="3"/>
  <c r="A26" i="4" s="1"/>
  <c r="G53" i="3"/>
  <c r="F53" i="3"/>
  <c r="E53" i="3"/>
  <c r="B53" i="3"/>
  <c r="A53" i="3"/>
  <c r="A25" i="4" s="1"/>
  <c r="G52" i="3"/>
  <c r="F52" i="3"/>
  <c r="E52" i="3"/>
  <c r="B52" i="3"/>
  <c r="A52" i="3"/>
  <c r="A24" i="4" s="1"/>
  <c r="G51" i="3"/>
  <c r="F51" i="3"/>
  <c r="E51" i="3"/>
  <c r="B51" i="3"/>
  <c r="A51" i="3"/>
  <c r="A23" i="4" s="1"/>
  <c r="G50" i="3"/>
  <c r="F50" i="3"/>
  <c r="E50" i="3"/>
  <c r="B50" i="3"/>
  <c r="A50" i="3"/>
  <c r="A22" i="4" s="1"/>
  <c r="G49" i="3"/>
  <c r="F49" i="3"/>
  <c r="E49" i="3"/>
  <c r="B49" i="3"/>
  <c r="A49" i="3"/>
  <c r="A21" i="4" s="1"/>
  <c r="G48" i="3"/>
  <c r="F48" i="3"/>
  <c r="E48" i="3"/>
  <c r="B48" i="3"/>
  <c r="A48" i="3"/>
  <c r="A20" i="4" s="1"/>
  <c r="G47" i="3"/>
  <c r="F47" i="3"/>
  <c r="E47" i="3"/>
  <c r="B47" i="3"/>
  <c r="A47" i="3"/>
  <c r="A19" i="4" s="1"/>
  <c r="G46" i="3"/>
  <c r="F46" i="3"/>
  <c r="E46" i="3"/>
  <c r="B46" i="3"/>
  <c r="A46" i="3"/>
  <c r="A18" i="4" s="1"/>
  <c r="G45" i="3"/>
  <c r="F45" i="3"/>
  <c r="E45" i="3"/>
  <c r="B45" i="3"/>
  <c r="A45" i="3"/>
  <c r="A17" i="4" s="1"/>
  <c r="G44" i="3"/>
  <c r="F44" i="3"/>
  <c r="E44" i="3"/>
  <c r="B44" i="3"/>
  <c r="A44" i="3"/>
  <c r="A16" i="4" s="1"/>
  <c r="G43" i="3"/>
  <c r="F43" i="3"/>
  <c r="E43" i="3"/>
  <c r="B43" i="3"/>
  <c r="A43" i="3"/>
  <c r="A15" i="4" s="1"/>
  <c r="G42" i="3"/>
  <c r="F42" i="3"/>
  <c r="E42" i="3"/>
  <c r="B42" i="3"/>
  <c r="A42" i="3"/>
  <c r="A14" i="4" s="1"/>
  <c r="G41" i="3"/>
  <c r="F41" i="3"/>
  <c r="E41" i="3"/>
  <c r="B41" i="3"/>
  <c r="A41" i="3"/>
  <c r="A13" i="4" s="1"/>
  <c r="G40" i="3"/>
  <c r="F40" i="3"/>
  <c r="E40" i="3"/>
  <c r="B40" i="3"/>
  <c r="A40" i="3"/>
  <c r="A12" i="4" s="1"/>
  <c r="G39" i="3"/>
  <c r="F39" i="3"/>
  <c r="E39" i="3"/>
  <c r="B39" i="3"/>
  <c r="A39" i="3"/>
  <c r="A11" i="4" s="1"/>
  <c r="G38" i="3"/>
  <c r="F38" i="3"/>
  <c r="E38" i="3"/>
  <c r="B38" i="3"/>
  <c r="A38" i="3"/>
  <c r="A10" i="4" s="1"/>
  <c r="G37" i="3"/>
  <c r="F37" i="3"/>
  <c r="E37" i="3"/>
  <c r="B37" i="3"/>
  <c r="A37" i="3"/>
  <c r="A9" i="4" s="1"/>
  <c r="G36" i="3"/>
  <c r="F36" i="3"/>
  <c r="E36" i="3"/>
  <c r="B36" i="3"/>
  <c r="A36" i="3"/>
  <c r="A8" i="4" s="1"/>
  <c r="G35" i="3"/>
  <c r="F35" i="3"/>
  <c r="E35" i="3"/>
  <c r="B35" i="3"/>
  <c r="A35" i="3"/>
  <c r="A7" i="4" s="1"/>
  <c r="G34" i="3"/>
  <c r="F34" i="3"/>
  <c r="E34" i="3"/>
  <c r="B34" i="3"/>
  <c r="A34" i="3"/>
  <c r="A6" i="4" s="1"/>
  <c r="G33" i="3"/>
  <c r="F33" i="3"/>
  <c r="E33" i="3"/>
  <c r="B33" i="3"/>
  <c r="A33" i="3"/>
  <c r="A5" i="4" s="1"/>
  <c r="G32" i="3"/>
  <c r="F32" i="3"/>
  <c r="E32" i="3"/>
  <c r="B32" i="3"/>
  <c r="A32" i="3"/>
  <c r="A4" i="4" s="1"/>
  <c r="M33" i="2"/>
  <c r="M32" i="2"/>
  <c r="O31" i="2"/>
  <c r="C59" i="3" s="1"/>
  <c r="M31" i="2"/>
  <c r="M30" i="2"/>
  <c r="M29" i="2"/>
  <c r="M28" i="2"/>
  <c r="M27" i="2"/>
  <c r="M26" i="2"/>
  <c r="M25" i="2"/>
  <c r="M24" i="2"/>
  <c r="M23" i="2"/>
  <c r="M22" i="2"/>
  <c r="M21" i="2"/>
  <c r="O20" i="2"/>
  <c r="C48" i="3" s="1"/>
  <c r="M20" i="2"/>
  <c r="P20" i="2" s="1"/>
  <c r="P19" i="2"/>
  <c r="O19" i="2"/>
  <c r="C47" i="3" s="1"/>
  <c r="M19" i="2"/>
  <c r="O18" i="2"/>
  <c r="M18" i="2"/>
  <c r="P18" i="2" s="1"/>
  <c r="M17" i="2"/>
  <c r="M16" i="2"/>
  <c r="M15" i="2"/>
  <c r="M14" i="2"/>
  <c r="M13" i="2"/>
  <c r="M12" i="2"/>
  <c r="M11" i="2"/>
  <c r="M10" i="2"/>
  <c r="M9" i="2"/>
  <c r="M8" i="2"/>
  <c r="M7" i="2"/>
  <c r="M6" i="2"/>
  <c r="M5" i="2"/>
  <c r="M4" i="2"/>
  <c r="C36" i="3" l="1"/>
  <c r="F8" i="4"/>
  <c r="P9" i="2"/>
  <c r="D37" i="3" s="1"/>
  <c r="P21" i="2"/>
  <c r="O22" i="2"/>
  <c r="F22" i="4" s="1"/>
  <c r="N6" i="2"/>
  <c r="O6" i="2" s="1"/>
  <c r="C34" i="3" s="1"/>
  <c r="P5" i="2"/>
  <c r="D33" i="3" s="1"/>
  <c r="H33" i="3" s="1"/>
  <c r="I33" i="3" s="1"/>
  <c r="O13" i="2"/>
  <c r="C41" i="3" s="1"/>
  <c r="P7" i="2"/>
  <c r="D35" i="3" s="1"/>
  <c r="P8" i="2"/>
  <c r="G8" i="4" s="1"/>
  <c r="P32" i="2"/>
  <c r="D60" i="3" s="1"/>
  <c r="H60" i="3" s="1"/>
  <c r="P33" i="2"/>
  <c r="D61" i="3" s="1"/>
  <c r="F20" i="4"/>
  <c r="P4" i="2"/>
  <c r="D32" i="3" s="1"/>
  <c r="F32" i="4"/>
  <c r="P14" i="2"/>
  <c r="G14" i="4" s="1"/>
  <c r="P29" i="2"/>
  <c r="G29" i="4" s="1"/>
  <c r="O28" i="2"/>
  <c r="F28" i="4" s="1"/>
  <c r="P23" i="2"/>
  <c r="D51" i="3" s="1"/>
  <c r="F15" i="4"/>
  <c r="C43" i="3"/>
  <c r="C42" i="3"/>
  <c r="F14" i="4"/>
  <c r="C54" i="3"/>
  <c r="F26" i="4"/>
  <c r="P24" i="2"/>
  <c r="D52" i="3" s="1"/>
  <c r="O25" i="2"/>
  <c r="F25" i="4" s="1"/>
  <c r="P10" i="2"/>
  <c r="J38" i="3" s="1"/>
  <c r="K38" i="3" s="1"/>
  <c r="D10" i="4" s="1"/>
  <c r="P26" i="2"/>
  <c r="G26" i="4" s="1"/>
  <c r="P11" i="2"/>
  <c r="G11" i="4" s="1"/>
  <c r="O16" i="2"/>
  <c r="F16" i="4" s="1"/>
  <c r="P15" i="2"/>
  <c r="J43" i="3" s="1"/>
  <c r="P27" i="2"/>
  <c r="D55" i="3" s="1"/>
  <c r="P30" i="2"/>
  <c r="G30" i="4" s="1"/>
  <c r="P12" i="2"/>
  <c r="J40" i="3" s="1"/>
  <c r="P17" i="2"/>
  <c r="J45" i="3" s="1"/>
  <c r="J53" i="3"/>
  <c r="D53" i="3"/>
  <c r="G25" i="4"/>
  <c r="D42" i="3"/>
  <c r="D46" i="3"/>
  <c r="G18" i="4"/>
  <c r="J46" i="3"/>
  <c r="F10" i="4"/>
  <c r="C38" i="3"/>
  <c r="C58" i="3"/>
  <c r="F30" i="4"/>
  <c r="G5" i="4"/>
  <c r="J37" i="3"/>
  <c r="G9" i="4"/>
  <c r="D49" i="3"/>
  <c r="J49" i="3"/>
  <c r="G21" i="4"/>
  <c r="F33" i="4"/>
  <c r="C61" i="3"/>
  <c r="J41" i="3"/>
  <c r="D41" i="3"/>
  <c r="G13" i="4"/>
  <c r="C46" i="3"/>
  <c r="F18" i="4"/>
  <c r="G22" i="4"/>
  <c r="D50" i="3"/>
  <c r="C35" i="3"/>
  <c r="F7" i="4"/>
  <c r="D47" i="3"/>
  <c r="H47" i="3" s="1"/>
  <c r="I47" i="3" s="1"/>
  <c r="J47" i="3"/>
  <c r="G19" i="4"/>
  <c r="D59" i="3"/>
  <c r="H59" i="3" s="1"/>
  <c r="I59" i="3" s="1"/>
  <c r="J59" i="3"/>
  <c r="G31" i="4"/>
  <c r="D48" i="3"/>
  <c r="H48" i="3" s="1"/>
  <c r="I48" i="3" s="1"/>
  <c r="J48" i="3"/>
  <c r="G20" i="4"/>
  <c r="F9" i="4"/>
  <c r="C37" i="3"/>
  <c r="F21" i="4"/>
  <c r="C49" i="3"/>
  <c r="F24" i="4"/>
  <c r="C52" i="3"/>
  <c r="J50" i="3"/>
  <c r="C55" i="3"/>
  <c r="B5" i="5"/>
  <c r="F4" i="4"/>
  <c r="C32" i="3"/>
  <c r="H32" i="3" s="1"/>
  <c r="I32" i="3" s="1"/>
  <c r="F12" i="4"/>
  <c r="C40" i="3"/>
  <c r="G4" i="4"/>
  <c r="J32" i="3"/>
  <c r="G16" i="4"/>
  <c r="J44" i="3"/>
  <c r="G28" i="4"/>
  <c r="J56" i="3"/>
  <c r="F19" i="4"/>
  <c r="F31" i="4"/>
  <c r="C39" i="3"/>
  <c r="C51" i="3"/>
  <c r="F5" i="4"/>
  <c r="F17" i="4"/>
  <c r="F29" i="4"/>
  <c r="F13" i="4" l="1"/>
  <c r="D38" i="3"/>
  <c r="C56" i="3"/>
  <c r="H56" i="3" s="1"/>
  <c r="I56" i="3" s="1"/>
  <c r="D36" i="3"/>
  <c r="H36" i="3" s="1"/>
  <c r="I36" i="3" s="1"/>
  <c r="C8" i="4" s="1"/>
  <c r="G33" i="4"/>
  <c r="J61" i="3"/>
  <c r="H35" i="3"/>
  <c r="I35" i="3" s="1"/>
  <c r="C7" i="4" s="1"/>
  <c r="J36" i="3"/>
  <c r="J8" i="4" s="1"/>
  <c r="H41" i="3"/>
  <c r="I41" i="3" s="1"/>
  <c r="C13" i="4" s="1"/>
  <c r="J51" i="3"/>
  <c r="K51" i="3" s="1"/>
  <c r="D23" i="4" s="1"/>
  <c r="H24" i="5" s="1"/>
  <c r="D45" i="3"/>
  <c r="H45" i="3" s="1"/>
  <c r="I45" i="3" s="1"/>
  <c r="C17" i="4" s="1"/>
  <c r="C50" i="3"/>
  <c r="H50" i="3" s="1"/>
  <c r="I50" i="3" s="1"/>
  <c r="C22" i="4" s="1"/>
  <c r="G32" i="4"/>
  <c r="J33" i="3"/>
  <c r="J55" i="3"/>
  <c r="J27" i="4" s="1"/>
  <c r="H51" i="3"/>
  <c r="I51" i="3" s="1"/>
  <c r="C23" i="4" s="1"/>
  <c r="P6" i="2"/>
  <c r="D43" i="3"/>
  <c r="H43" i="3" s="1"/>
  <c r="J42" i="3"/>
  <c r="C53" i="3"/>
  <c r="J60" i="3"/>
  <c r="J32" i="4" s="1"/>
  <c r="G7" i="4"/>
  <c r="J35" i="3"/>
  <c r="H61" i="3"/>
  <c r="I61" i="3" s="1"/>
  <c r="F6" i="4"/>
  <c r="G15" i="4"/>
  <c r="H49" i="3"/>
  <c r="I49" i="3" s="1"/>
  <c r="G23" i="4"/>
  <c r="J58" i="3"/>
  <c r="G10" i="4"/>
  <c r="D54" i="3"/>
  <c r="H54" i="3" s="1"/>
  <c r="I54" i="3" s="1"/>
  <c r="C26" i="4" s="1"/>
  <c r="D58" i="3"/>
  <c r="H58" i="3" s="1"/>
  <c r="D57" i="3"/>
  <c r="H57" i="3" s="1"/>
  <c r="I57" i="3" s="1"/>
  <c r="C29" i="4" s="1"/>
  <c r="J57" i="3"/>
  <c r="J29" i="4" s="1"/>
  <c r="G27" i="4"/>
  <c r="J54" i="3"/>
  <c r="B32" i="4"/>
  <c r="I60" i="3"/>
  <c r="H53" i="3"/>
  <c r="I53" i="3" s="1"/>
  <c r="H37" i="3"/>
  <c r="I37" i="3" s="1"/>
  <c r="C9" i="4" s="1"/>
  <c r="G17" i="4"/>
  <c r="G24" i="4"/>
  <c r="H46" i="3"/>
  <c r="K46" i="3" s="1"/>
  <c r="D18" i="4" s="1"/>
  <c r="H55" i="3"/>
  <c r="J52" i="3"/>
  <c r="J24" i="4" s="1"/>
  <c r="H52" i="3"/>
  <c r="I52" i="3" s="1"/>
  <c r="C24" i="4" s="1"/>
  <c r="H38" i="3"/>
  <c r="C44" i="3"/>
  <c r="H44" i="3" s="1"/>
  <c r="B16" i="5"/>
  <c r="J10" i="4"/>
  <c r="J39" i="3"/>
  <c r="J11" i="4" s="1"/>
  <c r="B17" i="5"/>
  <c r="D39" i="3"/>
  <c r="H39" i="3" s="1"/>
  <c r="I39" i="3" s="1"/>
  <c r="C11" i="4" s="1"/>
  <c r="D40" i="3"/>
  <c r="H40" i="3" s="1"/>
  <c r="I40" i="3" s="1"/>
  <c r="G12" i="4"/>
  <c r="H42" i="3"/>
  <c r="C5" i="4"/>
  <c r="B5" i="4"/>
  <c r="B20" i="4"/>
  <c r="C20" i="4"/>
  <c r="J30" i="4"/>
  <c r="C21" i="4"/>
  <c r="J20" i="4"/>
  <c r="K48" i="3"/>
  <c r="D20" i="4" s="1"/>
  <c r="C25" i="4"/>
  <c r="C28" i="4"/>
  <c r="B28" i="4"/>
  <c r="C4" i="4"/>
  <c r="B4" i="4"/>
  <c r="J19" i="4"/>
  <c r="K47" i="3"/>
  <c r="D19" i="4" s="1"/>
  <c r="H23" i="5" s="1"/>
  <c r="J21" i="4"/>
  <c r="K42" i="3"/>
  <c r="D14" i="4" s="1"/>
  <c r="J14" i="4"/>
  <c r="J17" i="4"/>
  <c r="K45" i="3"/>
  <c r="D17" i="4" s="1"/>
  <c r="B31" i="4"/>
  <c r="C31" i="4"/>
  <c r="K56" i="3"/>
  <c r="D28" i="4" s="1"/>
  <c r="J28" i="4"/>
  <c r="J12" i="4"/>
  <c r="K44" i="3"/>
  <c r="D16" i="4" s="1"/>
  <c r="J16" i="4"/>
  <c r="K60" i="3"/>
  <c r="D32" i="4" s="1"/>
  <c r="C32" i="4"/>
  <c r="J33" i="4"/>
  <c r="J9" i="4"/>
  <c r="K37" i="3"/>
  <c r="D9" i="4" s="1"/>
  <c r="K32" i="3"/>
  <c r="D4" i="4" s="1"/>
  <c r="J4" i="4"/>
  <c r="J26" i="4"/>
  <c r="J25" i="4"/>
  <c r="B19" i="4"/>
  <c r="C19" i="4"/>
  <c r="J13" i="4"/>
  <c r="J18" i="4"/>
  <c r="J22" i="4"/>
  <c r="J15" i="4"/>
  <c r="J31" i="4"/>
  <c r="K59" i="3"/>
  <c r="D31" i="4" s="1"/>
  <c r="C33" i="4"/>
  <c r="J5" i="4"/>
  <c r="K33" i="3"/>
  <c r="D5" i="4" s="1"/>
  <c r="K36" i="3" l="1"/>
  <c r="D8" i="4" s="1"/>
  <c r="K35" i="3"/>
  <c r="D7" i="4" s="1"/>
  <c r="K41" i="3"/>
  <c r="D13" i="4" s="1"/>
  <c r="H22" i="5" s="1"/>
  <c r="B13" i="4"/>
  <c r="B8" i="4"/>
  <c r="B11" i="4"/>
  <c r="J23" i="4"/>
  <c r="B7" i="4"/>
  <c r="B25" i="4"/>
  <c r="K53" i="3"/>
  <c r="D25" i="4" s="1"/>
  <c r="K49" i="3"/>
  <c r="D21" i="4" s="1"/>
  <c r="B21" i="4"/>
  <c r="B33" i="4"/>
  <c r="B23" i="4"/>
  <c r="B17" i="4"/>
  <c r="I43" i="3"/>
  <c r="C15" i="4" s="1"/>
  <c r="K43" i="3"/>
  <c r="D15" i="4" s="1"/>
  <c r="B15" i="4"/>
  <c r="J7" i="4"/>
  <c r="D34" i="3"/>
  <c r="H34" i="3" s="1"/>
  <c r="I34" i="3" s="1"/>
  <c r="C6" i="4" s="1"/>
  <c r="G6" i="4"/>
  <c r="J34" i="3"/>
  <c r="K52" i="3"/>
  <c r="D24" i="4" s="1"/>
  <c r="K61" i="3"/>
  <c r="D33" i="4" s="1"/>
  <c r="B14" i="4"/>
  <c r="I42" i="3"/>
  <c r="C14" i="4" s="1"/>
  <c r="K55" i="3"/>
  <c r="D27" i="4" s="1"/>
  <c r="I55" i="3"/>
  <c r="C27" i="4" s="1"/>
  <c r="B18" i="4"/>
  <c r="I46" i="3"/>
  <c r="C18" i="4" s="1"/>
  <c r="K54" i="3"/>
  <c r="D26" i="4" s="1"/>
  <c r="K58" i="3"/>
  <c r="D30" i="4" s="1"/>
  <c r="I58" i="3"/>
  <c r="C30" i="4" s="1"/>
  <c r="B24" i="4"/>
  <c r="B22" i="4"/>
  <c r="K57" i="3"/>
  <c r="D29" i="4" s="1"/>
  <c r="B26" i="4"/>
  <c r="B29" i="4"/>
  <c r="I44" i="3"/>
  <c r="C16" i="4" s="1"/>
  <c r="K50" i="3"/>
  <c r="D22" i="4" s="1"/>
  <c r="K39" i="3"/>
  <c r="D11" i="4" s="1"/>
  <c r="B9" i="4"/>
  <c r="I38" i="3"/>
  <c r="C10" i="4" s="1"/>
  <c r="C12" i="4"/>
  <c r="K40" i="3"/>
  <c r="D12" i="4" s="1"/>
  <c r="B27" i="4"/>
  <c r="B16" i="4"/>
  <c r="B10" i="4"/>
  <c r="B12" i="4"/>
  <c r="B30" i="4"/>
  <c r="H14" i="5"/>
  <c r="G14" i="5"/>
  <c r="H21" i="5"/>
  <c r="H20" i="5" l="1"/>
  <c r="H19" i="5"/>
  <c r="G13" i="5"/>
  <c r="H11" i="5"/>
  <c r="G11" i="5"/>
  <c r="J6" i="4"/>
  <c r="K34" i="3"/>
  <c r="D6" i="4" s="1"/>
  <c r="B8" i="5" s="1"/>
  <c r="C8" i="5" s="1"/>
  <c r="B9" i="5"/>
  <c r="C9" i="5" s="1"/>
  <c r="B6" i="4"/>
  <c r="C14" i="5" s="1"/>
  <c r="B24" i="5"/>
  <c r="C24" i="5" s="1"/>
  <c r="H13" i="5"/>
  <c r="G12" i="5"/>
  <c r="G6" i="5"/>
  <c r="H6" i="5" s="1"/>
  <c r="G5" i="5"/>
  <c r="H5" i="5" s="1"/>
  <c r="B31" i="5"/>
  <c r="G7" i="5"/>
  <c r="H7" i="5" s="1"/>
  <c r="H18" i="5" l="1"/>
  <c r="B14" i="5"/>
  <c r="B23" i="5"/>
  <c r="C23" i="5" s="1"/>
  <c r="B28" i="5"/>
  <c r="B7" i="5"/>
  <c r="C7" i="5" s="1"/>
  <c r="C17" i="5"/>
  <c r="H12" i="5"/>
  <c r="C15" i="5"/>
  <c r="C16" i="5"/>
  <c r="B22" i="5"/>
  <c r="C22" i="5" s="1"/>
  <c r="B6" i="5"/>
  <c r="C6" i="5" s="1"/>
  <c r="B32" i="5"/>
  <c r="B29" i="5"/>
  <c r="B30" i="5"/>
</calcChain>
</file>

<file path=xl/sharedStrings.xml><?xml version="1.0" encoding="utf-8"?>
<sst xmlns="http://schemas.openxmlformats.org/spreadsheetml/2006/main" count="381" uniqueCount="283">
  <si>
    <t>LENDING ASSUMPTIONS</t>
  </si>
  <si>
    <t>Prime Rate (p.a.)</t>
  </si>
  <si>
    <t>Bank Margin (p.a.)</t>
  </si>
  <si>
    <t>Effective Annual Rate</t>
  </si>
  <si>
    <t>Monthly Interest Rate</t>
  </si>
  <si>
    <t>POLICY THRESHOLDS</t>
  </si>
  <si>
    <t>Max DTI (Approve)</t>
  </si>
  <si>
    <t>Max DTI (Review)</t>
  </si>
  <si>
    <t>Min Surplus (Approve, ZAR)</t>
  </si>
  <si>
    <t>Min Surplus (Review, ZAR)</t>
  </si>
  <si>
    <t>Min Credit Score (Approve)</t>
  </si>
  <si>
    <t>Min Credit Score (Review)</t>
  </si>
  <si>
    <t>SCORE THRESHOLDS</t>
  </si>
  <si>
    <t>Approve Threshold (≥)</t>
  </si>
  <si>
    <t>Review Threshold (≥)</t>
  </si>
  <si>
    <t>Max Possible Score</t>
  </si>
  <si>
    <t>SA RETAIL CREDIT SCORECARD  |  APPLICANT INPUT DATA  |  FY2025</t>
  </si>
  <si>
    <t>APPLICANT PROFILE  (hardcoded inputs — blue)</t>
  </si>
  <si>
    <t>DERIVED RATIOS  (formula outputs — black)</t>
  </si>
  <si>
    <t>Applicant
ID</t>
  </si>
  <si>
    <t>Age</t>
  </si>
  <si>
    <t>Province</t>
  </si>
  <si>
    <t>Employment
Status</t>
  </si>
  <si>
    <t>Gross Monthly
Income (R)</t>
  </si>
  <si>
    <t>Monthly Living
Expenses (R)</t>
  </si>
  <si>
    <t>Existing Debt
Repayments (R)</t>
  </si>
  <si>
    <t>Loan Amount
Requested (R)</t>
  </si>
  <si>
    <t>Loan Term
(Months)</t>
  </si>
  <si>
    <t>Credit
Score</t>
  </si>
  <si>
    <t>Missed Pymnts
(12 Mths)</t>
  </si>
  <si>
    <t>Years in
Current Role</t>
  </si>
  <si>
    <t>Net Disposable
Income (R)</t>
  </si>
  <si>
    <t>Est. Monthly
Instalment (R)</t>
  </si>
  <si>
    <t>Debt-to-Income
Ratio</t>
  </si>
  <si>
    <t>Affordability
Surplus (R)</t>
  </si>
  <si>
    <t>SA-2025-001</t>
  </si>
  <si>
    <t>Gauteng</t>
  </si>
  <si>
    <t>Permanently Employed</t>
  </si>
  <si>
    <t>SA-2025-002</t>
  </si>
  <si>
    <t>Western Cape</t>
  </si>
  <si>
    <t>SA-2025-003</t>
  </si>
  <si>
    <t>Self-Employed</t>
  </si>
  <si>
    <t>SA-2025-004</t>
  </si>
  <si>
    <t>KwaZulu-Natal</t>
  </si>
  <si>
    <t>Fixed-Term Contract</t>
  </si>
  <si>
    <t>SA-2025-005</t>
  </si>
  <si>
    <t>SA-2025-006</t>
  </si>
  <si>
    <t>SA-2025-007</t>
  </si>
  <si>
    <t>Eastern Cape</t>
  </si>
  <si>
    <t>Unemployed</t>
  </si>
  <si>
    <t>SA-2025-008</t>
  </si>
  <si>
    <t>SA-2025-009</t>
  </si>
  <si>
    <t>SA-2025-010</t>
  </si>
  <si>
    <t>Limpopo</t>
  </si>
  <si>
    <t>SA-2025-011</t>
  </si>
  <si>
    <t>SA-2025-012</t>
  </si>
  <si>
    <t>SA-2025-013</t>
  </si>
  <si>
    <t>SA-2025-014</t>
  </si>
  <si>
    <t>SA-2025-015</t>
  </si>
  <si>
    <t>SA-2025-016</t>
  </si>
  <si>
    <t>North West</t>
  </si>
  <si>
    <t>SA-2025-017</t>
  </si>
  <si>
    <t>SA-2025-018</t>
  </si>
  <si>
    <t>SA-2025-019</t>
  </si>
  <si>
    <t>SA-2025-020</t>
  </si>
  <si>
    <t>Mpumalanga</t>
  </si>
  <si>
    <t>SA-2025-021</t>
  </si>
  <si>
    <t>SA-2025-022</t>
  </si>
  <si>
    <t>SA-2025-023</t>
  </si>
  <si>
    <t>SA-2025-024</t>
  </si>
  <si>
    <t>SA-2025-025</t>
  </si>
  <si>
    <t>SA-2025-026</t>
  </si>
  <si>
    <t>SA-2025-027</t>
  </si>
  <si>
    <t>SA-2025-028</t>
  </si>
  <si>
    <t>SA-2025-029</t>
  </si>
  <si>
    <t>SA-2025-030</t>
  </si>
  <si>
    <t>COLOUR CODE:   Blue = Hardcoded Input   |   Black = Calculated Formula   |   Green = Cross-Sheet Link</t>
  </si>
  <si>
    <t>Interest rate: Prime (11.75%) + Margin (2.00%) = 13.75% p.a. → Monthly rate used in PMT. Source: SARB MPC, Nov 2024.</t>
  </si>
  <si>
    <t>SA RETAIL CREDIT SCORECARD  |  SCORING FRAMEWORK &amp; POINT ALLOCATION  |  MAX SCORE = 100</t>
  </si>
  <si>
    <t>SECTION A — SCORING BAND REFERENCE TABLES   (used by scoring formulas below)</t>
  </si>
  <si>
    <t>1. CREDIT SCORE (ITC Bureau)   [max 25 pts]</t>
  </si>
  <si>
    <t>2. DEBT-TO-INCOME RATIO (DTI)   [max 20 pts]</t>
  </si>
  <si>
    <t>3. AFFORDABILITY SURPLUS   [max 20 pts]</t>
  </si>
  <si>
    <t>Condition</t>
  </si>
  <si>
    <t>Pts</t>
  </si>
  <si>
    <t>Risk Label</t>
  </si>
  <si>
    <t>Business Rationale</t>
  </si>
  <si>
    <t>750 and above</t>
  </si>
  <si>
    <t>Excellent</t>
  </si>
  <si>
    <t>Prime borrower — minimal default risk per ITC/TransUnion data</t>
  </si>
  <si>
    <t>Below 30%</t>
  </si>
  <si>
    <t>Conservative</t>
  </si>
  <si>
    <t>Strong repayment capacity; well within NCA 35% guideline</t>
  </si>
  <si>
    <t>Above R12 000</t>
  </si>
  <si>
    <t>Strong</t>
  </si>
  <si>
    <t>Substantial buffer — comfortable with new repayment</t>
  </si>
  <si>
    <t>700 – 749</t>
  </si>
  <si>
    <t>Good</t>
  </si>
  <si>
    <t>Low-risk profile; within standard NCA affordability comfort</t>
  </si>
  <si>
    <t>30% – 39%</t>
  </si>
  <si>
    <t>Manageable</t>
  </si>
  <si>
    <t>Acceptable; within standard bank DTI policy limits</t>
  </si>
  <si>
    <t>R6 000 – R12 000</t>
  </si>
  <si>
    <t>Adequate</t>
  </si>
  <si>
    <t>Acceptable buffer; standard approval range</t>
  </si>
  <si>
    <t>650 – 699</t>
  </si>
  <si>
    <t>Fair</t>
  </si>
  <si>
    <t>Acceptable; borderline affordability — monitor DTI closely</t>
  </si>
  <si>
    <t>40% – 49%</t>
  </si>
  <si>
    <t>Elevated</t>
  </si>
  <si>
    <t>Approaching over-indebtedness; manual review warranted</t>
  </si>
  <si>
    <t>R2 000 – R5 999</t>
  </si>
  <si>
    <t>Marginal</t>
  </si>
  <si>
    <t>Thin surplus; small income shock creates default risk</t>
  </si>
  <si>
    <t>580 – 649</t>
  </si>
  <si>
    <t>Weak</t>
  </si>
  <si>
    <t>Sub-prime territory; elevated probability of default</t>
  </si>
  <si>
    <t>50% – 59%</t>
  </si>
  <si>
    <t>High</t>
  </si>
  <si>
    <t>Over-indebted threshold; NCA S79 referral likely</t>
  </si>
  <si>
    <t>R0 – R1 999</t>
  </si>
  <si>
    <t>Minimal</t>
  </si>
  <si>
    <t>Negligible buffer; high sensitivity to rate increases</t>
  </si>
  <si>
    <t>Below 580</t>
  </si>
  <si>
    <t>Poor</t>
  </si>
  <si>
    <t>High default risk; NCA section 81 affordability concern</t>
  </si>
  <si>
    <t>60% and above</t>
  </si>
  <si>
    <t>Critical</t>
  </si>
  <si>
    <t>Clearly over-indebted per NCR definition; decline recommended</t>
  </si>
  <si>
    <t>Negative</t>
  </si>
  <si>
    <t>Deficit</t>
  </si>
  <si>
    <t>Cannot service loan — decline on affordability grounds</t>
  </si>
  <si>
    <t>Note: SA bureau scores (TransUnion/Experian) range 330–850. Threshold of 580 reflects typical bank minimum; 650 is preferred floor for unsecured lending.</t>
  </si>
  <si>
    <t>Note: DTI = (Existing Debt + New Instalment) / Gross Monthly Income. NCR/NCA guideline suggests max 35–40% for responsible lending.</t>
  </si>
  <si>
    <t>Note: Surplus = Net Disposable Income − Existing Debt − New Instalment. NCR requires lenders to verify that surplus remains positive post-lending.</t>
  </si>
  <si>
    <t>4. EMPLOYMENT STATUS   [max 15 pts]</t>
  </si>
  <si>
    <t>5. MISSED PAYMENTS (12 Months)   [max 10 pts]</t>
  </si>
  <si>
    <t>6. TENURE IN CURRENT ROLE   [max 10 pts]</t>
  </si>
  <si>
    <t>Stable</t>
  </si>
  <si>
    <t>Predictable income; lowest income volatility risk</t>
  </si>
  <si>
    <t>0 missed payments</t>
  </si>
  <si>
    <t>Clean</t>
  </si>
  <si>
    <t>No adverse payment behaviour — strongest signal</t>
  </si>
  <si>
    <t>10 years or more</t>
  </si>
  <si>
    <t>Very Stable</t>
  </si>
  <si>
    <t>Established career — income sustainability high</t>
  </si>
  <si>
    <t>Variable</t>
  </si>
  <si>
    <t>Business income subject to volatility; require 2-yr financials</t>
  </si>
  <si>
    <t>1 missed payment</t>
  </si>
  <si>
    <t>Minor</t>
  </si>
  <si>
    <t>Isolated incident; investigate cause before deciding</t>
  </si>
  <si>
    <t>5 – 9 years</t>
  </si>
  <si>
    <t>Reasonable track record; satisfactory for lending</t>
  </si>
  <si>
    <t>Moderate</t>
  </si>
  <si>
    <t>Employed but income continuity uncertain beyond contract end</t>
  </si>
  <si>
    <t>2 missed payments</t>
  </si>
  <si>
    <t>Concerning</t>
  </si>
  <si>
    <t>Pattern of default risk; consistent with NCA S86 profile</t>
  </si>
  <si>
    <t>2 – 4 years</t>
  </si>
  <si>
    <t>Developing</t>
  </si>
  <si>
    <t>Growing career; acceptable with strong other factors</t>
  </si>
  <si>
    <t>High Risk</t>
  </si>
  <si>
    <t>No verifiable income; decline per NCA affordability rules</t>
  </si>
  <si>
    <t>3 or more missed</t>
  </si>
  <si>
    <t>Adverse</t>
  </si>
  <si>
    <t>Chronic arrears; decline recommended regardless of score</t>
  </si>
  <si>
    <t>Under 2 years</t>
  </si>
  <si>
    <t>Early Stage</t>
  </si>
  <si>
    <t>Income continuity unproven; residual employment risk</t>
  </si>
  <si>
    <t>Note: Employment type is a primary driver of income certainty. SA banks typically require 3 months payslips for employees; 2 years financials for self-employed.</t>
  </si>
  <si>
    <t>Note: Sourced from bureau payment profile. 3+ missed payments in 12 months is a standard bank hard-decline trigger.</t>
  </si>
  <si>
    <t>Note: Job tenure proxies income continuity risk. Combined with employment status it captures the stability dimension that payslips alone do not fully reveal.</t>
  </si>
  <si>
    <t>SECTION B — APPLICANT SCORE AGGREGATION</t>
  </si>
  <si>
    <t>Applicant ID</t>
  </si>
  <si>
    <t>CS Score
(/25)</t>
  </si>
  <si>
    <t>DTI Score
(/20)</t>
  </si>
  <si>
    <t>Surplus Score
(/20)</t>
  </si>
  <si>
    <t>Empl Score
(/15)</t>
  </si>
  <si>
    <t>Missed Pymnt
Score (/10)</t>
  </si>
  <si>
    <t>Tenure Score
(/10)</t>
  </si>
  <si>
    <t>TOTAL SCORE
(/100)</t>
  </si>
  <si>
    <t>Risk Band</t>
  </si>
  <si>
    <t>Policy Check</t>
  </si>
  <si>
    <t>Final Decision</t>
  </si>
  <si>
    <t>DECISION THRESHOLDS (from Assumptions sheet):   Score ≥ 68 = APPROVE (Low Risk)   |   Score 42–67 = REVIEW (Medium Risk)   |   Score &lt; 42 = DECLINE (High Risk)   |   Policy overrides apply regardless of score</t>
  </si>
  <si>
    <t>SA RETAIL CREDIT SCORECARD  |  DECISION OUTPUT &amp; REASON FLAGS  |  FY2025</t>
  </si>
  <si>
    <t>DECISION SUMMARY</t>
  </si>
  <si>
    <t>RISK DRIVER FLAGS   (⚠ = flag triggered)</t>
  </si>
  <si>
    <t>Total Score
(/100)</t>
  </si>
  <si>
    <t>⚠ Low Credit
Score (&lt;580)</t>
  </si>
  <si>
    <t>⚠ High DTI
(≥50%)</t>
  </si>
  <si>
    <t>⚠ Thin
Surplus (&lt;R2k)</t>
  </si>
  <si>
    <t>⚠ Missed
Payments (2+)</t>
  </si>
  <si>
    <t>⚠ Short
Tenure (&lt;2 yrs)</t>
  </si>
  <si>
    <t>⚠ Policy
Override</t>
  </si>
  <si>
    <t>SA RETAIL CREDIT SCORECARD  |  PORTFOLIO ANALYTICS DASHBOARD  |  FY2025</t>
  </si>
  <si>
    <t>A.  PORTFOLIO DECISION SUMMARY</t>
  </si>
  <si>
    <t>C.  RISK BAND DISTRIBUTION</t>
  </si>
  <si>
    <t>Metric</t>
  </si>
  <si>
    <t>Value</t>
  </si>
  <si>
    <t>% of Portfolio</t>
  </si>
  <si>
    <t>Count</t>
  </si>
  <si>
    <t>Total Applications</t>
  </si>
  <si>
    <t>Low Risk</t>
  </si>
  <si>
    <t>Approved</t>
  </si>
  <si>
    <t>Medium Risk</t>
  </si>
  <si>
    <t>Under Review</t>
  </si>
  <si>
    <t>Declined</t>
  </si>
  <si>
    <t>Policy Override Declines</t>
  </si>
  <si>
    <t>D.  EMPLOYMENT STATUS vs DECISION</t>
  </si>
  <si>
    <t>Employment Type</t>
  </si>
  <si>
    <t>B.  AVERAGE PORTFOLIO RISK METRICS</t>
  </si>
  <si>
    <t>Portfolio Avg</t>
  </si>
  <si>
    <t>Approved Avg</t>
  </si>
  <si>
    <t>Average Total Score (/100)</t>
  </si>
  <si>
    <t>Average Credit Score</t>
  </si>
  <si>
    <t>Average DTI</t>
  </si>
  <si>
    <t>E.  APPLICATIONS BY PROVINCE</t>
  </si>
  <si>
    <t>Average Affordability Surplus (R)</t>
  </si>
  <si>
    <t>Approval Rate</t>
  </si>
  <si>
    <t>F.  CHART-READY DATA TABLES</t>
  </si>
  <si>
    <t>Decision Distribution (for Pie / Donut Chart)</t>
  </si>
  <si>
    <t>Category</t>
  </si>
  <si>
    <t>Rate</t>
  </si>
  <si>
    <t>Approve</t>
  </si>
  <si>
    <t>Review</t>
  </si>
  <si>
    <t>Decline</t>
  </si>
  <si>
    <t>Score Distribution (for Histogram / Bar Chart)</t>
  </si>
  <si>
    <t>Score Bracket</t>
  </si>
  <si>
    <t>0 – 29</t>
  </si>
  <si>
    <t>30 – 49</t>
  </si>
  <si>
    <t>50 – 67</t>
  </si>
  <si>
    <t>68 – 84</t>
  </si>
  <si>
    <t>85 – 100</t>
  </si>
  <si>
    <t>SA RETAIL CREDIT SCORECARD MODEL  |  TECHNICAL DOCUMENTATION  |  SIPHESIHLE GWEBU</t>
  </si>
  <si>
    <t>PROJECT OVERVIEW</t>
  </si>
  <si>
    <t>This workbook implements a retail credit scorecard designed to reflect the decisioning logic used by South African banks under the National Credit Act (NCA). It evaluates 30 synthetic loan applicants across six weighted risk factors and produces a scored lending decision — Approve, Review, or Decline — with reason flags and portfolio analytics. All assumptions are centralised on the Assumptions sheet for audit-trail transparency.</t>
  </si>
  <si>
    <t>REGULATORY CONTEXT</t>
  </si>
  <si>
    <t>South African consumer credit is governed by the National Credit Act 34 of 2005 (NCA) and overseen by the National Credit Regulator (NCR). Key principles embedded in this model:</t>
  </si>
  <si>
    <t xml:space="preserve">  •  Section 81 (Reckless Credit): Lenders must conduct affordability assessments before extending credit.</t>
  </si>
  <si>
    <t xml:space="preserve">  •  Section 86 (Over-indebtedness): A consumer is over-indebted if they cannot meet all obligations — DTI thresholds reflect this.</t>
  </si>
  <si>
    <t xml:space="preserve">  •  NCR Affordability Guidelines: Maximum DTI of approximately 35–40% for unsecured lending is standard bank policy.</t>
  </si>
  <si>
    <t xml:space="preserve">  •  Credit Bureau Data: Credit scores sourced from TransUnion or Experian (SA) range 330–850. This model uses that range.</t>
  </si>
  <si>
    <t>WORKBOOK STRUCTURE</t>
  </si>
  <si>
    <t xml:space="preserve">  Assumptions      Centralised rate, threshold, and policy variables (change here — model updates everywhere)</t>
  </si>
  <si>
    <t xml:space="preserve">  Inputs           30 SA applicants with income, expenses, debt, bureau score, and employment profile</t>
  </si>
  <si>
    <t xml:space="preserve">  Scorecard Logic  Scoring band reference tables + automated score aggregation with policy override logic</t>
  </si>
  <si>
    <t xml:space="preserve">  Decision Output  Final decisions per applicant with dynamic reason flags showing primary risk drivers</t>
  </si>
  <si>
    <t xml:space="preserve">  Dashboard Data   Portfolio analytics structured for chart-building: decision split, risk bands, province, employment</t>
  </si>
  <si>
    <t xml:space="preserve">  README           This documentation sheet</t>
  </si>
  <si>
    <t>HOW THE SCORE IS CALCULATED</t>
  </si>
  <si>
    <t>Each applicant is scored on six factors. Points are totalled to a maximum of 100.</t>
  </si>
  <si>
    <t xml:space="preserve">  Factor                        Weight    Scoring Logic</t>
  </si>
  <si>
    <t xml:space="preserve">  1.  Credit Score (ITC Bureau)   25 pts  ≥750=25 | 700-749=20 | 650-699=13 | 580-649=5 | &lt;580=0</t>
  </si>
  <si>
    <t xml:space="preserve">  2.  Debt-to-Income Ratio        20 pts  &lt;30%=20 | 30-39%=14 | 40-49%=7 | 50-59%=2 | ≥60%=0</t>
  </si>
  <si>
    <t xml:space="preserve">  3.  Affordability Surplus       20 pts  &gt;R12k=20 | R6k-12k=14 | R2k-6k=7 | R0-2k=2 | Negative=0</t>
  </si>
  <si>
    <t xml:space="preserve">  4.  Employment Status           15 pts  Permanently Employed=15 | Self-Employed=10 | Contract=5 | Unemployed=0</t>
  </si>
  <si>
    <t xml:space="preserve">  5.  Missed Payments (12 mths)   10 pts  0=10 | 1=6 | 2=2 | 3+=0</t>
  </si>
  <si>
    <t xml:space="preserve">  6.  Tenure in Current Role      10 pts  ≥10 yrs=10 | 5-9 yrs=7 | 2-4 yrs=4 | &lt;2 yrs=1</t>
  </si>
  <si>
    <t>DECISION LOGIC</t>
  </si>
  <si>
    <t xml:space="preserve">  Score ≥ 68    →  APPROVE   Strong profile — recommend lending at standard terms</t>
  </si>
  <si>
    <t xml:space="preserve">  Score 42–67  →  REVIEW    Borderline — refer to credit underwriter for manual assessment</t>
  </si>
  <si>
    <t xml:space="preserve">  Score &lt; 42   →  DECLINE   Elevated default risk — decline application</t>
  </si>
  <si>
    <t xml:space="preserve">  Policy Override → DECLINE  Regardless of score: 3+ missed payments OR unemployed OR negative affordability surplus</t>
  </si>
  <si>
    <t>KEY ASSUMPTIONS</t>
  </si>
  <si>
    <t xml:space="preserve">  •  Interest rate: SARB prime rate (11.75%) + bank margin (2.00%) = 13.75% p.a. effective, ÷12 for monthly PMT calculation</t>
  </si>
  <si>
    <t xml:space="preserve">  •  DTI definition: (Existing Debt Repayments + New Monthly Instalment) / Gross Monthly Income</t>
  </si>
  <si>
    <t xml:space="preserve">  •  Affordability Surplus: Net Disposable Income (Gross Income – Living Expenses) minus Existing Debt minus New Instalment</t>
  </si>
  <si>
    <t xml:space="preserve">  •  All rate assumptions and decision thresholds are stored on the Assumptions sheet and referenced via absolute cell links</t>
  </si>
  <si>
    <t xml:space="preserve">  •  Applicant data is entirely synthetic — created to represent a realistic spread of SA retail lending profiles across income levels, provinces, and employment types</t>
  </si>
  <si>
    <t>MODEL LIMITATIONS</t>
  </si>
  <si>
    <t xml:space="preserve">  •  Rules-based scorecard: weights are judgemental, not statistically derived. Production scorecards use logistic regression on historical default data</t>
  </si>
  <si>
    <t xml:space="preserve">  •  No fraud or KYC checks — real models include ID verification, FICA compliance, and bureau fraud flags</t>
  </si>
  <si>
    <t xml:space="preserve">  •  Does not incorporate behavioural scoring, bureau payment history detail, or instalment-to-income ratio checks</t>
  </si>
  <si>
    <t xml:space="preserve">  •  Single loan product modelled — real scorecards are product-specific (home loan vs personal loan vs vehicle finance)</t>
  </si>
  <si>
    <t xml:space="preserve">  •  Interest rate is static — a production model would stress-test affordability under rate shock scenarios</t>
  </si>
  <si>
    <t>RELEVANCE TO BANKING &amp; CREDIT ANALYTICS ROLES</t>
  </si>
  <si>
    <t xml:space="preserve">  •  Demonstrates understanding of retail credit risk drivers and NCA regulatory context</t>
  </si>
  <si>
    <t xml:space="preserve">  •  Shows ability to structure formula-driven, audit-ready financial models in Excel</t>
  </si>
  <si>
    <t xml:space="preserve">  •  Reflects familiarity with bureau data, DTI, and affordability concepts used by SA banks daily</t>
  </si>
  <si>
    <t xml:space="preserve">  •  Policy override logic mirrors hard-decline rules used in bank credit policy documents</t>
  </si>
  <si>
    <t xml:space="preserve">  •  Dashboard Data sheet mirrors the type of portfolio MIS produced for credit risk committees</t>
  </si>
  <si>
    <t xml:space="preserve">Built by: Siphesihle Gwebu |  Junior Management Accountant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</si>
</sst>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Red]\-[$$-409]#,##0.00"/>
    <numFmt numFmtId="165" formatCode="0.0%"/>
    <numFmt numFmtId="166" formatCode="0.0"/>
    <numFmt numFmtId="168" formatCode="&quot;R&quot;#,##0.00"/>
  </numFmts>
  <fonts count="31" x14ac:knownFonts="1">
    <font>
      <sz val="11"/>
      <color theme="1"/>
      <name val="Calibri"/>
      <family val="2"/>
      <charset val="1"/>
    </font>
    <font>
      <b/>
      <sz val="10"/>
      <color rgb="FFFFFFFF"/>
      <name val="Calibri"/>
      <family val="2"/>
    </font>
    <font>
      <sz val="10"/>
      <name val="Calibri"/>
      <family val="2"/>
    </font>
    <font>
      <b/>
      <sz val="10"/>
      <color rgb="FF1A5276"/>
      <name val="Calibri"/>
      <family val="2"/>
    </font>
    <font>
      <b/>
      <sz val="13"/>
      <color rgb="FFFFFFFF"/>
      <name val="Calibri"/>
      <family val="2"/>
    </font>
    <font>
      <b/>
      <sz val="9"/>
      <color rgb="FFFFFFFF"/>
      <name val="Calibri"/>
      <family val="2"/>
    </font>
    <font>
      <sz val="10"/>
      <color rgb="FF1A5276"/>
      <name val="Calibri"/>
      <family val="2"/>
    </font>
    <font>
      <sz val="10"/>
      <color rgb="FF000000"/>
      <name val="Calibri"/>
      <family val="2"/>
    </font>
    <font>
      <sz val="8"/>
      <color rgb="FFFFFFFF"/>
      <name val="Calibri"/>
      <family val="2"/>
    </font>
    <font>
      <i/>
      <sz val="8"/>
      <color rgb="FF404040"/>
      <name val="Calibri"/>
      <family val="2"/>
    </font>
    <font>
      <b/>
      <sz val="12"/>
      <color rgb="FFFFFFFF"/>
      <name val="Calibri"/>
      <family val="2"/>
    </font>
    <font>
      <b/>
      <sz val="9"/>
      <color rgb="FF0D2240"/>
      <name val="Calibri"/>
      <family val="2"/>
    </font>
    <font>
      <sz val="9"/>
      <color rgb="FF000000"/>
      <name val="Calibri"/>
      <family val="2"/>
    </font>
    <font>
      <b/>
      <sz val="10"/>
      <color rgb="FF1E8449"/>
      <name val="Calibri"/>
      <family val="2"/>
    </font>
    <font>
      <b/>
      <sz val="10"/>
      <color rgb="FFB7950B"/>
      <name val="Calibri"/>
      <family val="2"/>
    </font>
    <font>
      <b/>
      <sz val="10"/>
      <color rgb="FFC0392B"/>
      <name val="Calibri"/>
      <family val="2"/>
    </font>
    <font>
      <b/>
      <sz val="11"/>
      <color rgb="FFFFFFFF"/>
      <name val="Calibri"/>
      <family val="2"/>
    </font>
    <font>
      <sz val="10"/>
      <color rgb="FF1E8449"/>
      <name val="Calibri"/>
      <family val="2"/>
    </font>
    <font>
      <b/>
      <sz val="10"/>
      <color rgb="FF0D2240"/>
      <name val="Calibri"/>
      <family val="2"/>
    </font>
    <font>
      <sz val="10"/>
      <color rgb="FFC0392B"/>
      <name val="Calibri"/>
      <family val="2"/>
    </font>
    <font>
      <b/>
      <sz val="10"/>
      <color rgb="FF000000"/>
      <name val="Calibri"/>
      <family val="2"/>
    </font>
    <font>
      <b/>
      <sz val="10"/>
      <color rgb="FF145A32"/>
      <name val="Calibri"/>
      <family val="2"/>
    </font>
    <font>
      <sz val="10"/>
      <color rgb="FF145A32"/>
      <name val="Calibri"/>
      <family val="2"/>
    </font>
    <font>
      <b/>
      <sz val="10"/>
      <color rgb="FF7D6608"/>
      <name val="Calibri"/>
      <family val="2"/>
    </font>
    <font>
      <sz val="10"/>
      <color rgb="FF7D6608"/>
      <name val="Calibri"/>
      <family val="2"/>
    </font>
    <font>
      <b/>
      <sz val="10"/>
      <color rgb="FF7B241C"/>
      <name val="Calibri"/>
      <family val="2"/>
    </font>
    <font>
      <sz val="10"/>
      <color rgb="FF7B241C"/>
      <name val="Calibri"/>
      <family val="2"/>
    </font>
    <font>
      <b/>
      <sz val="8"/>
      <color rgb="FF0D2240"/>
      <name val="Calibri"/>
      <family val="2"/>
    </font>
    <font>
      <b/>
      <sz val="14"/>
      <color rgb="FFFFFFFF"/>
      <name val="Calibri"/>
      <family val="2"/>
    </font>
    <font>
      <sz val="10"/>
      <color rgb="FF404040"/>
      <name val="Calibri"/>
      <family val="2"/>
    </font>
    <font>
      <sz val="10"/>
      <color rgb="FFB7950B"/>
      <name val="Calibri"/>
      <family val="2"/>
    </font>
  </fonts>
  <fills count="13">
    <fill>
      <patternFill patternType="none"/>
    </fill>
    <fill>
      <patternFill patternType="gray125"/>
    </fill>
    <fill>
      <patternFill patternType="solid">
        <fgColor rgb="FF1A5276"/>
        <bgColor rgb="FF145A32"/>
      </patternFill>
    </fill>
    <fill>
      <patternFill patternType="solid">
        <fgColor rgb="FF0D2240"/>
        <bgColor rgb="FF003300"/>
      </patternFill>
    </fill>
    <fill>
      <patternFill patternType="solid">
        <fgColor rgb="FF5D8AA8"/>
        <bgColor rgb="FF808080"/>
      </patternFill>
    </fill>
    <fill>
      <patternFill patternType="solid">
        <fgColor rgb="FFF4F8FD"/>
        <bgColor rgb="FFEAF2FB"/>
      </patternFill>
    </fill>
    <fill>
      <patternFill patternType="solid">
        <fgColor rgb="FFFFFFFF"/>
        <bgColor rgb="FFF4F8FD"/>
      </patternFill>
    </fill>
    <fill>
      <patternFill patternType="solid">
        <fgColor rgb="FFF0F0F0"/>
        <bgColor rgb="FFEAF2FB"/>
      </patternFill>
    </fill>
    <fill>
      <patternFill patternType="solid">
        <fgColor rgb="FF2471A3"/>
        <bgColor rgb="FF008080"/>
      </patternFill>
    </fill>
    <fill>
      <patternFill patternType="solid">
        <fgColor rgb="FFEAF2FB"/>
        <bgColor rgb="FFF0F0F0"/>
      </patternFill>
    </fill>
    <fill>
      <patternFill patternType="solid">
        <fgColor rgb="FFD5F5E3"/>
        <bgColor rgb="FFEAF2FB"/>
      </patternFill>
    </fill>
    <fill>
      <patternFill patternType="solid">
        <fgColor rgb="FFFEF9E7"/>
        <bgColor rgb="FFF4F8FD"/>
      </patternFill>
    </fill>
    <fill>
      <patternFill patternType="solid">
        <fgColor rgb="FFFDEDEC"/>
        <bgColor rgb="FFF0F0F0"/>
      </patternFill>
    </fill>
  </fills>
  <borders count="3">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2">
    <xf numFmtId="0" fontId="0" fillId="0" borderId="0" xfId="0"/>
    <xf numFmtId="0" fontId="11" fillId="9" borderId="1" xfId="0" applyFont="1" applyFill="1" applyBorder="1" applyAlignment="1">
      <alignment horizontal="left" vertical="center"/>
    </xf>
    <xf numFmtId="0" fontId="1" fillId="3" borderId="1" xfId="0" applyFont="1" applyFill="1" applyBorder="1" applyAlignment="1">
      <alignment horizontal="left" vertical="center"/>
    </xf>
    <xf numFmtId="0" fontId="5" fillId="3" borderId="0" xfId="0" applyFont="1" applyFill="1" applyAlignment="1">
      <alignment horizontal="left" vertical="center"/>
    </xf>
    <xf numFmtId="0" fontId="16" fillId="3" borderId="1" xfId="0" applyFont="1" applyFill="1" applyBorder="1" applyAlignment="1">
      <alignment horizontal="left" vertical="center"/>
    </xf>
    <xf numFmtId="0" fontId="9" fillId="7" borderId="0" xfId="0" applyFont="1" applyFill="1" applyAlignment="1">
      <alignment horizontal="left" vertical="center" wrapText="1"/>
    </xf>
    <xf numFmtId="0" fontId="1" fillId="8" borderId="1" xfId="0" applyFont="1" applyFill="1" applyBorder="1" applyAlignment="1">
      <alignment horizontal="left" vertical="center"/>
    </xf>
    <xf numFmtId="0" fontId="1" fillId="4" borderId="1" xfId="0" applyFont="1" applyFill="1" applyBorder="1" applyAlignment="1">
      <alignment horizontal="left" vertical="center"/>
    </xf>
    <xf numFmtId="0" fontId="10" fillId="3" borderId="1" xfId="0" applyFont="1" applyFill="1" applyBorder="1" applyAlignment="1">
      <alignment horizontal="center" vertical="center"/>
    </xf>
    <xf numFmtId="0" fontId="9" fillId="7" borderId="1" xfId="0" applyFont="1" applyFill="1" applyBorder="1" applyAlignment="1">
      <alignment horizontal="left" vertical="center"/>
    </xf>
    <xf numFmtId="0" fontId="8" fillId="3" borderId="1" xfId="0" applyFont="1" applyFill="1" applyBorder="1" applyAlignment="1">
      <alignment horizontal="left" vertical="center"/>
    </xf>
    <xf numFmtId="0" fontId="5" fillId="2" borderId="1" xfId="0" applyFont="1" applyFill="1" applyBorder="1" applyAlignment="1">
      <alignment horizontal="left" vertical="center"/>
    </xf>
    <xf numFmtId="0" fontId="5" fillId="4" borderId="1" xfId="0" applyFont="1" applyFill="1" applyBorder="1" applyAlignment="1">
      <alignment horizontal="left" vertical="center"/>
    </xf>
    <xf numFmtId="0" fontId="4" fillId="3" borderId="1" xfId="0" applyFont="1" applyFill="1" applyBorder="1" applyAlignment="1">
      <alignment horizontal="center" vertical="center"/>
    </xf>
    <xf numFmtId="0" fontId="1" fillId="2" borderId="0" xfId="0" applyFont="1" applyFill="1"/>
    <xf numFmtId="0" fontId="2" fillId="0" borderId="0" xfId="0" applyFont="1"/>
    <xf numFmtId="0" fontId="3" fillId="0" borderId="0" xfId="0" applyFont="1"/>
    <xf numFmtId="0" fontId="5" fillId="4"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5" borderId="2" xfId="0" applyFont="1" applyFill="1" applyBorder="1" applyAlignment="1">
      <alignment horizontal="left" vertical="center"/>
    </xf>
    <xf numFmtId="1" fontId="6" fillId="5" borderId="2" xfId="0" applyNumberFormat="1" applyFont="1" applyFill="1" applyBorder="1" applyAlignment="1">
      <alignment horizontal="center" vertical="center"/>
    </xf>
    <xf numFmtId="0" fontId="6" fillId="5" borderId="2" xfId="0" applyFont="1" applyFill="1" applyBorder="1" applyAlignment="1">
      <alignment horizontal="center" vertical="center"/>
    </xf>
    <xf numFmtId="0" fontId="7" fillId="5" borderId="2" xfId="0" applyFont="1" applyFill="1" applyBorder="1" applyAlignment="1">
      <alignment horizontal="center" vertical="center"/>
    </xf>
    <xf numFmtId="164" fontId="7" fillId="5" borderId="2" xfId="0" applyNumberFormat="1" applyFont="1" applyFill="1" applyBorder="1" applyAlignment="1">
      <alignment horizontal="center" vertical="center"/>
    </xf>
    <xf numFmtId="165" fontId="7" fillId="5" borderId="2" xfId="0" applyNumberFormat="1" applyFont="1" applyFill="1" applyBorder="1" applyAlignment="1">
      <alignment horizontal="center" vertical="center"/>
    </xf>
    <xf numFmtId="0" fontId="6" fillId="6" borderId="2" xfId="0" applyFont="1" applyFill="1" applyBorder="1" applyAlignment="1">
      <alignment horizontal="left" vertical="center"/>
    </xf>
    <xf numFmtId="1" fontId="6" fillId="6" borderId="2" xfId="0" applyNumberFormat="1" applyFont="1" applyFill="1" applyBorder="1" applyAlignment="1">
      <alignment horizontal="center" vertical="center"/>
    </xf>
    <xf numFmtId="0" fontId="6" fillId="6" borderId="2" xfId="0" applyFont="1" applyFill="1" applyBorder="1" applyAlignment="1">
      <alignment horizontal="center" vertical="center"/>
    </xf>
    <xf numFmtId="0" fontId="7" fillId="6" borderId="2" xfId="0" applyFont="1" applyFill="1" applyBorder="1" applyAlignment="1">
      <alignment horizontal="center" vertical="center"/>
    </xf>
    <xf numFmtId="164" fontId="7" fillId="6" borderId="2" xfId="0" applyNumberFormat="1" applyFont="1" applyFill="1" applyBorder="1" applyAlignment="1">
      <alignment horizontal="center" vertical="center"/>
    </xf>
    <xf numFmtId="165" fontId="7" fillId="6" borderId="2" xfId="0" applyNumberFormat="1" applyFont="1" applyFill="1" applyBorder="1" applyAlignment="1">
      <alignment horizontal="center" vertical="center"/>
    </xf>
    <xf numFmtId="0" fontId="11" fillId="9" borderId="2" xfId="0" applyFont="1" applyFill="1" applyBorder="1" applyAlignment="1">
      <alignment horizontal="center" vertical="center" wrapText="1"/>
    </xf>
    <xf numFmtId="0" fontId="12" fillId="10" borderId="2" xfId="0" applyFont="1" applyFill="1" applyBorder="1" applyAlignment="1">
      <alignment horizontal="left" vertical="center"/>
    </xf>
    <xf numFmtId="1" fontId="13" fillId="10" borderId="2" xfId="0" applyNumberFormat="1" applyFont="1" applyFill="1" applyBorder="1" applyAlignment="1">
      <alignment horizontal="center" vertical="center"/>
    </xf>
    <xf numFmtId="0" fontId="12" fillId="10" borderId="2" xfId="0" applyFont="1" applyFill="1" applyBorder="1" applyAlignment="1">
      <alignment horizontal="center" vertical="center"/>
    </xf>
    <xf numFmtId="0" fontId="12" fillId="11" borderId="2" xfId="0" applyFont="1" applyFill="1" applyBorder="1" applyAlignment="1">
      <alignment horizontal="left" vertical="center"/>
    </xf>
    <xf numFmtId="1" fontId="14" fillId="11" borderId="2" xfId="0" applyNumberFormat="1" applyFont="1" applyFill="1" applyBorder="1" applyAlignment="1">
      <alignment horizontal="center" vertical="center"/>
    </xf>
    <xf numFmtId="0" fontId="12" fillId="11" borderId="2" xfId="0" applyFont="1" applyFill="1" applyBorder="1" applyAlignment="1">
      <alignment horizontal="center" vertical="center"/>
    </xf>
    <xf numFmtId="0" fontId="12" fillId="12" borderId="2" xfId="0" applyFont="1" applyFill="1" applyBorder="1" applyAlignment="1">
      <alignment horizontal="left" vertical="center"/>
    </xf>
    <xf numFmtId="1" fontId="15" fillId="12" borderId="2" xfId="0" applyNumberFormat="1" applyFont="1" applyFill="1" applyBorder="1" applyAlignment="1">
      <alignment horizontal="center" vertical="center"/>
    </xf>
    <xf numFmtId="0" fontId="12" fillId="12" borderId="2" xfId="0" applyFont="1" applyFill="1" applyBorder="1" applyAlignment="1">
      <alignment horizontal="center" vertical="center"/>
    </xf>
    <xf numFmtId="0" fontId="17" fillId="5" borderId="2" xfId="0" applyFont="1" applyFill="1" applyBorder="1" applyAlignment="1">
      <alignment horizontal="left" vertical="center"/>
    </xf>
    <xf numFmtId="1" fontId="7" fillId="5" borderId="2" xfId="0" applyNumberFormat="1" applyFont="1" applyFill="1" applyBorder="1" applyAlignment="1">
      <alignment horizontal="center" vertical="center"/>
    </xf>
    <xf numFmtId="1" fontId="18" fillId="5" borderId="2" xfId="0" applyNumberFormat="1" applyFont="1" applyFill="1" applyBorder="1" applyAlignment="1">
      <alignment horizontal="center" vertical="center"/>
    </xf>
    <xf numFmtId="0" fontId="19" fillId="5" borderId="2" xfId="0" applyFont="1" applyFill="1" applyBorder="1" applyAlignment="1">
      <alignment horizontal="center" vertical="center"/>
    </xf>
    <xf numFmtId="0" fontId="20" fillId="5" borderId="2" xfId="0" applyFont="1" applyFill="1" applyBorder="1" applyAlignment="1">
      <alignment horizontal="center" vertical="center"/>
    </xf>
    <xf numFmtId="0" fontId="17" fillId="6" borderId="2" xfId="0" applyFont="1" applyFill="1" applyBorder="1" applyAlignment="1">
      <alignment horizontal="left" vertical="center"/>
    </xf>
    <xf numFmtId="1" fontId="7" fillId="6" borderId="2" xfId="0" applyNumberFormat="1" applyFont="1" applyFill="1" applyBorder="1" applyAlignment="1">
      <alignment horizontal="center" vertical="center"/>
    </xf>
    <xf numFmtId="1" fontId="18" fillId="6" borderId="2" xfId="0" applyNumberFormat="1" applyFont="1" applyFill="1" applyBorder="1" applyAlignment="1">
      <alignment horizontal="center" vertical="center"/>
    </xf>
    <xf numFmtId="0" fontId="19" fillId="6" borderId="2" xfId="0" applyFont="1" applyFill="1" applyBorder="1" applyAlignment="1">
      <alignment horizontal="center" vertical="center"/>
    </xf>
    <xf numFmtId="0" fontId="20" fillId="6" borderId="2" xfId="0" applyFont="1" applyFill="1" applyBorder="1" applyAlignment="1">
      <alignment horizontal="center" vertical="center"/>
    </xf>
    <xf numFmtId="1" fontId="13" fillId="5" borderId="2" xfId="0" applyNumberFormat="1" applyFont="1" applyFill="1" applyBorder="1" applyAlignment="1">
      <alignment horizontal="center" vertical="center"/>
    </xf>
    <xf numFmtId="0" fontId="17" fillId="5" borderId="2" xfId="0" applyFont="1" applyFill="1" applyBorder="1" applyAlignment="1">
      <alignment horizontal="center" vertical="center"/>
    </xf>
    <xf numFmtId="0" fontId="13" fillId="5" borderId="2" xfId="0" applyFont="1" applyFill="1" applyBorder="1" applyAlignment="1">
      <alignment horizontal="center" vertical="center"/>
    </xf>
    <xf numFmtId="0" fontId="15" fillId="5" borderId="2" xfId="0" applyFont="1" applyFill="1" applyBorder="1" applyAlignment="1">
      <alignment horizontal="center" vertical="center"/>
    </xf>
    <xf numFmtId="1" fontId="13" fillId="6" borderId="2" xfId="0" applyNumberFormat="1" applyFont="1" applyFill="1" applyBorder="1" applyAlignment="1">
      <alignment horizontal="center" vertical="center"/>
    </xf>
    <xf numFmtId="0" fontId="17" fillId="6" borderId="2" xfId="0" applyFont="1" applyFill="1" applyBorder="1" applyAlignment="1">
      <alignment horizontal="center" vertical="center"/>
    </xf>
    <xf numFmtId="0" fontId="13" fillId="6" borderId="2" xfId="0" applyFont="1" applyFill="1" applyBorder="1" applyAlignment="1">
      <alignment horizontal="center" vertical="center"/>
    </xf>
    <xf numFmtId="0" fontId="15" fillId="6" borderId="2" xfId="0" applyFont="1" applyFill="1" applyBorder="1" applyAlignment="1">
      <alignment horizontal="center" vertical="center"/>
    </xf>
    <xf numFmtId="0" fontId="7" fillId="6" borderId="2" xfId="0" applyFont="1" applyFill="1" applyBorder="1" applyAlignment="1">
      <alignment horizontal="left" vertical="center"/>
    </xf>
    <xf numFmtId="1" fontId="20" fillId="6" borderId="2" xfId="0" applyNumberFormat="1" applyFont="1" applyFill="1" applyBorder="1" applyAlignment="1">
      <alignment horizontal="center" vertical="center"/>
    </xf>
    <xf numFmtId="0" fontId="21" fillId="10" borderId="2" xfId="0" applyFont="1" applyFill="1" applyBorder="1" applyAlignment="1">
      <alignment horizontal="left" vertical="center"/>
    </xf>
    <xf numFmtId="1" fontId="21" fillId="10" borderId="2" xfId="0" applyNumberFormat="1" applyFont="1" applyFill="1" applyBorder="1" applyAlignment="1">
      <alignment horizontal="center" vertical="center"/>
    </xf>
    <xf numFmtId="165" fontId="22" fillId="10" borderId="2" xfId="0" applyNumberFormat="1" applyFont="1" applyFill="1" applyBorder="1" applyAlignment="1">
      <alignment horizontal="center" vertical="center"/>
    </xf>
    <xf numFmtId="0" fontId="7" fillId="5" borderId="2" xfId="0" applyFont="1" applyFill="1" applyBorder="1" applyAlignment="1">
      <alignment horizontal="left" vertical="center"/>
    </xf>
    <xf numFmtId="1" fontId="20" fillId="5" borderId="2" xfId="0" applyNumberFormat="1" applyFont="1" applyFill="1" applyBorder="1" applyAlignment="1">
      <alignment horizontal="center" vertical="center"/>
    </xf>
    <xf numFmtId="0" fontId="23" fillId="11" borderId="2" xfId="0" applyFont="1" applyFill="1" applyBorder="1" applyAlignment="1">
      <alignment horizontal="left" vertical="center"/>
    </xf>
    <xf numFmtId="1" fontId="23" fillId="11" borderId="2" xfId="0" applyNumberFormat="1" applyFont="1" applyFill="1" applyBorder="1" applyAlignment="1">
      <alignment horizontal="center" vertical="center"/>
    </xf>
    <xf numFmtId="165" fontId="24" fillId="11" borderId="2" xfId="0" applyNumberFormat="1" applyFont="1" applyFill="1" applyBorder="1" applyAlignment="1">
      <alignment horizontal="center" vertical="center"/>
    </xf>
    <xf numFmtId="0" fontId="25" fillId="12" borderId="2" xfId="0" applyFont="1" applyFill="1" applyBorder="1" applyAlignment="1">
      <alignment horizontal="left" vertical="center"/>
    </xf>
    <xf numFmtId="1" fontId="25" fillId="12" borderId="2" xfId="0" applyNumberFormat="1" applyFont="1" applyFill="1" applyBorder="1" applyAlignment="1">
      <alignment horizontal="center" vertical="center"/>
    </xf>
    <xf numFmtId="165" fontId="26" fillId="12" borderId="2" xfId="0" applyNumberFormat="1" applyFont="1" applyFill="1" applyBorder="1" applyAlignment="1">
      <alignment horizontal="center" vertical="center"/>
    </xf>
    <xf numFmtId="0" fontId="12" fillId="6" borderId="2" xfId="0" applyFont="1" applyFill="1" applyBorder="1" applyAlignment="1">
      <alignment horizontal="left" vertical="center"/>
    </xf>
    <xf numFmtId="1" fontId="15" fillId="6" borderId="2" xfId="0" applyNumberFormat="1" applyFont="1" applyFill="1" applyBorder="1" applyAlignment="1">
      <alignment horizontal="center" vertical="center"/>
    </xf>
    <xf numFmtId="0" fontId="12" fillId="5" borderId="2" xfId="0" applyFont="1" applyFill="1" applyBorder="1" applyAlignment="1">
      <alignment horizontal="left" vertical="center"/>
    </xf>
    <xf numFmtId="1" fontId="15" fillId="5" borderId="2" xfId="0" applyNumberFormat="1" applyFont="1" applyFill="1" applyBorder="1" applyAlignment="1">
      <alignment horizontal="center" vertical="center"/>
    </xf>
    <xf numFmtId="166" fontId="20" fillId="5" borderId="2" xfId="0" applyNumberFormat="1" applyFont="1" applyFill="1" applyBorder="1" applyAlignment="1">
      <alignment horizontal="center" vertical="center"/>
    </xf>
    <xf numFmtId="166" fontId="13" fillId="5" borderId="2" xfId="0" applyNumberFormat="1" applyFont="1" applyFill="1" applyBorder="1" applyAlignment="1">
      <alignment horizontal="center" vertical="center"/>
    </xf>
    <xf numFmtId="165" fontId="20" fillId="5" borderId="2" xfId="0" applyNumberFormat="1" applyFont="1" applyFill="1" applyBorder="1" applyAlignment="1">
      <alignment horizontal="center" vertical="center"/>
    </xf>
    <xf numFmtId="165" fontId="13" fillId="5" borderId="2" xfId="0" applyNumberFormat="1" applyFont="1" applyFill="1" applyBorder="1" applyAlignment="1">
      <alignment horizontal="center" vertical="center"/>
    </xf>
    <xf numFmtId="0" fontId="27" fillId="9" borderId="2" xfId="0" applyFont="1" applyFill="1" applyBorder="1" applyAlignment="1">
      <alignment horizontal="center" vertical="center" wrapText="1"/>
    </xf>
    <xf numFmtId="0" fontId="28" fillId="3" borderId="2" xfId="0" applyFont="1" applyFill="1" applyBorder="1" applyAlignment="1">
      <alignment horizontal="center" vertical="center"/>
    </xf>
    <xf numFmtId="0" fontId="16" fillId="2" borderId="0" xfId="0" applyFont="1" applyFill="1" applyAlignment="1">
      <alignment horizontal="left" vertical="center" wrapText="1"/>
    </xf>
    <xf numFmtId="0" fontId="7" fillId="0" borderId="0" xfId="0" applyFont="1" applyAlignment="1">
      <alignment horizontal="left" vertical="center" wrapText="1"/>
    </xf>
    <xf numFmtId="0" fontId="6" fillId="0" borderId="0" xfId="0" applyFont="1" applyAlignment="1">
      <alignment horizontal="left" vertical="center" wrapText="1"/>
    </xf>
    <xf numFmtId="0" fontId="29" fillId="0" borderId="0" xfId="0" applyFont="1" applyAlignment="1">
      <alignment horizontal="left" vertical="center" wrapText="1"/>
    </xf>
    <xf numFmtId="0" fontId="17" fillId="0" borderId="0" xfId="0" applyFont="1" applyAlignment="1">
      <alignment horizontal="left" vertical="center" wrapText="1"/>
    </xf>
    <xf numFmtId="0" fontId="30" fillId="0" borderId="0" xfId="0" applyFont="1" applyAlignment="1">
      <alignment horizontal="left" vertical="center" wrapText="1"/>
    </xf>
    <xf numFmtId="0" fontId="19" fillId="0" borderId="0" xfId="0" applyFont="1" applyAlignment="1">
      <alignment horizontal="left" vertical="center" wrapText="1"/>
    </xf>
    <xf numFmtId="0" fontId="26" fillId="0" borderId="0" xfId="0" applyFont="1" applyAlignment="1">
      <alignment horizontal="left" vertical="center" wrapText="1"/>
    </xf>
    <xf numFmtId="168" fontId="7" fillId="5" borderId="2" xfId="0" applyNumberFormat="1" applyFont="1" applyFill="1" applyBorder="1" applyAlignment="1">
      <alignment horizontal="center" vertical="center"/>
    </xf>
    <xf numFmtId="168" fontId="20" fillId="6" borderId="2" xfId="0" applyNumberFormat="1" applyFont="1" applyFill="1" applyBorder="1" applyAlignment="1">
      <alignment horizontal="center" vertical="center"/>
    </xf>
  </cellXfs>
  <cellStyles count="1">
    <cellStyle name="Normal" xfId="0" builtinId="0"/>
  </cellStyles>
  <dxfs count="13">
    <dxf>
      <font>
        <color rgb="FF7B241C"/>
        <name val="Calibri"/>
        <charset val="1"/>
      </font>
      <fill>
        <patternFill>
          <bgColor rgb="FFFDEDEC"/>
        </patternFill>
      </fill>
    </dxf>
    <dxf>
      <font>
        <color rgb="FF7D6608"/>
        <name val="Calibri"/>
        <charset val="1"/>
      </font>
      <fill>
        <patternFill>
          <bgColor rgb="FFFEF9E7"/>
        </patternFill>
      </fill>
    </dxf>
    <dxf>
      <font>
        <color rgb="FF145A32"/>
        <name val="Calibri"/>
        <charset val="1"/>
      </font>
      <fill>
        <patternFill>
          <bgColor rgb="FFD5F5E3"/>
        </patternFill>
      </fill>
    </dxf>
    <dxf>
      <font>
        <b/>
        <color rgb="FF7B241C"/>
        <name val="Calibri"/>
        <charset val="1"/>
      </font>
      <fill>
        <patternFill>
          <bgColor rgb="FFFDEDEC"/>
        </patternFill>
      </fill>
    </dxf>
    <dxf>
      <font>
        <b/>
        <color rgb="FF7D6608"/>
        <name val="Calibri"/>
        <charset val="1"/>
      </font>
      <fill>
        <patternFill>
          <bgColor rgb="FFFEF9E7"/>
        </patternFill>
      </fill>
    </dxf>
    <dxf>
      <font>
        <b/>
        <color rgb="FF145A32"/>
        <name val="Calibri"/>
        <charset val="1"/>
      </font>
      <fill>
        <patternFill>
          <bgColor rgb="FFD5F5E3"/>
        </patternFill>
      </fill>
    </dxf>
    <dxf>
      <font>
        <color rgb="FF7B241C"/>
        <name val="Calibri"/>
        <charset val="1"/>
      </font>
      <fill>
        <patternFill>
          <bgColor rgb="FFFDEDEC"/>
        </patternFill>
      </fill>
    </dxf>
    <dxf>
      <font>
        <color rgb="FF7D6608"/>
        <name val="Calibri"/>
        <charset val="1"/>
      </font>
      <fill>
        <patternFill>
          <bgColor rgb="FFFEF9E7"/>
        </patternFill>
      </fill>
    </dxf>
    <dxf>
      <font>
        <color rgb="FF145A32"/>
        <name val="Calibri"/>
        <charset val="1"/>
      </font>
      <fill>
        <patternFill>
          <bgColor rgb="FFD5F5E3"/>
        </patternFill>
      </fill>
    </dxf>
    <dxf>
      <font>
        <b/>
        <color rgb="FF7B241C"/>
        <name val="Calibri"/>
        <charset val="1"/>
      </font>
      <fill>
        <patternFill>
          <bgColor rgb="FFFDEDEC"/>
        </patternFill>
      </fill>
    </dxf>
    <dxf>
      <font>
        <b/>
        <color rgb="FF7D6608"/>
        <name val="Calibri"/>
        <charset val="1"/>
      </font>
      <fill>
        <patternFill>
          <bgColor rgb="FFFEF9E7"/>
        </patternFill>
      </fill>
    </dxf>
    <dxf>
      <font>
        <b/>
        <color rgb="FF145A32"/>
        <name val="Calibri"/>
        <charset val="1"/>
      </font>
      <fill>
        <patternFill>
          <bgColor rgb="FFD5F5E3"/>
        </patternFill>
      </fill>
    </dxf>
    <dxf>
      <font>
        <b/>
        <color rgb="FF7B241C"/>
        <name val="Calibri"/>
        <charset val="1"/>
      </font>
      <fill>
        <patternFill>
          <bgColor rgb="FFF5B7B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45A32"/>
      <rgbColor rgb="FF000080"/>
      <rgbColor rgb="FF7D6608"/>
      <rgbColor rgb="FF800080"/>
      <rgbColor rgb="FF008080"/>
      <rgbColor rgb="FFBFBFBF"/>
      <rgbColor rgb="FF808080"/>
      <rgbColor rgb="FF9999FF"/>
      <rgbColor rgb="FFC0392B"/>
      <rgbColor rgb="FFFEF9E7"/>
      <rgbColor rgb="FFEAF2FB"/>
      <rgbColor rgb="FF660066"/>
      <rgbColor rgb="FFFF8080"/>
      <rgbColor rgb="FF2471A3"/>
      <rgbColor rgb="FFF0F0F0"/>
      <rgbColor rgb="FF000080"/>
      <rgbColor rgb="FFFF00FF"/>
      <rgbColor rgb="FFFFFF00"/>
      <rgbColor rgb="FF00FFFF"/>
      <rgbColor rgb="FF800080"/>
      <rgbColor rgb="FF800000"/>
      <rgbColor rgb="FF008080"/>
      <rgbColor rgb="FF0000FF"/>
      <rgbColor rgb="FF00CCFF"/>
      <rgbColor rgb="FFF4F8FD"/>
      <rgbColor rgb="FFD5F5E3"/>
      <rgbColor rgb="FFFDEDEC"/>
      <rgbColor rgb="FF99CCFF"/>
      <rgbColor rgb="FFFF99CC"/>
      <rgbColor rgb="FFCC99FF"/>
      <rgbColor rgb="FFF5B7B1"/>
      <rgbColor rgb="FF3366FF"/>
      <rgbColor rgb="FF33CCCC"/>
      <rgbColor rgb="FF99CC00"/>
      <rgbColor rgb="FFFFCC00"/>
      <rgbColor rgb="FFB7950B"/>
      <rgbColor rgb="FFFF6600"/>
      <rgbColor rgb="FF5D8AA8"/>
      <rgbColor rgb="FF969696"/>
      <rgbColor rgb="FF0D2240"/>
      <rgbColor rgb="FF1E8449"/>
      <rgbColor rgb="FF003300"/>
      <rgbColor rgb="FF333300"/>
      <rgbColor rgb="FF7B241C"/>
      <rgbColor rgb="FF993366"/>
      <rgbColor rgb="FF1A527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B18"/>
  <sheetViews>
    <sheetView zoomScaleNormal="100" workbookViewId="0">
      <selection activeCell="B5" sqref="B5"/>
    </sheetView>
  </sheetViews>
  <sheetFormatPr baseColWidth="10" defaultColWidth="8.6640625" defaultRowHeight="15" x14ac:dyDescent="0.2"/>
  <cols>
    <col min="1" max="1" width="32" customWidth="1"/>
    <col min="2" max="2" width="16" customWidth="1"/>
  </cols>
  <sheetData>
    <row r="1" spans="1:2" x14ac:dyDescent="0.2">
      <c r="A1" s="14" t="s">
        <v>0</v>
      </c>
    </row>
    <row r="2" spans="1:2" x14ac:dyDescent="0.2">
      <c r="A2" s="15" t="s">
        <v>1</v>
      </c>
      <c r="B2" s="16">
        <v>0.11749999999999999</v>
      </c>
    </row>
    <row r="3" spans="1:2" x14ac:dyDescent="0.2">
      <c r="A3" s="15" t="s">
        <v>2</v>
      </c>
      <c r="B3" s="16">
        <v>0.02</v>
      </c>
    </row>
    <row r="4" spans="1:2" x14ac:dyDescent="0.2">
      <c r="A4" s="15" t="s">
        <v>3</v>
      </c>
      <c r="B4" s="16">
        <v>0.13750000000000001</v>
      </c>
    </row>
    <row r="5" spans="1:2" x14ac:dyDescent="0.2">
      <c r="A5" s="15" t="s">
        <v>4</v>
      </c>
      <c r="B5" s="16">
        <f>B4/12</f>
        <v>1.1458333333333334E-2</v>
      </c>
    </row>
    <row r="6" spans="1:2" x14ac:dyDescent="0.2">
      <c r="A6" s="14"/>
    </row>
    <row r="7" spans="1:2" x14ac:dyDescent="0.2">
      <c r="A7" s="14" t="s">
        <v>5</v>
      </c>
    </row>
    <row r="8" spans="1:2" x14ac:dyDescent="0.2">
      <c r="A8" s="15" t="s">
        <v>6</v>
      </c>
      <c r="B8" s="16">
        <v>0.35</v>
      </c>
    </row>
    <row r="9" spans="1:2" x14ac:dyDescent="0.2">
      <c r="A9" s="15" t="s">
        <v>7</v>
      </c>
      <c r="B9" s="16">
        <v>0.5</v>
      </c>
    </row>
    <row r="10" spans="1:2" x14ac:dyDescent="0.2">
      <c r="A10" s="15" t="s">
        <v>8</v>
      </c>
      <c r="B10" s="16">
        <v>8000</v>
      </c>
    </row>
    <row r="11" spans="1:2" x14ac:dyDescent="0.2">
      <c r="A11" s="15" t="s">
        <v>9</v>
      </c>
      <c r="B11" s="16">
        <v>3000</v>
      </c>
    </row>
    <row r="12" spans="1:2" x14ac:dyDescent="0.2">
      <c r="A12" s="15" t="s">
        <v>10</v>
      </c>
      <c r="B12" s="16">
        <v>650</v>
      </c>
    </row>
    <row r="13" spans="1:2" x14ac:dyDescent="0.2">
      <c r="A13" s="15" t="s">
        <v>11</v>
      </c>
      <c r="B13" s="16">
        <v>580</v>
      </c>
    </row>
    <row r="14" spans="1:2" x14ac:dyDescent="0.2">
      <c r="A14" s="14"/>
    </row>
    <row r="15" spans="1:2" x14ac:dyDescent="0.2">
      <c r="A15" s="14" t="s">
        <v>12</v>
      </c>
    </row>
    <row r="16" spans="1:2" x14ac:dyDescent="0.2">
      <c r="A16" s="15" t="s">
        <v>13</v>
      </c>
      <c r="B16" s="16">
        <v>68</v>
      </c>
    </row>
    <row r="17" spans="1:2" x14ac:dyDescent="0.2">
      <c r="A17" s="15" t="s">
        <v>14</v>
      </c>
      <c r="B17" s="16">
        <v>42</v>
      </c>
    </row>
    <row r="18" spans="1:2" x14ac:dyDescent="0.2">
      <c r="A18" s="15" t="s">
        <v>15</v>
      </c>
      <c r="B18" s="16">
        <v>100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2240"/>
  </sheetPr>
  <dimension ref="A1:P37"/>
  <sheetViews>
    <sheetView showGridLines="0" zoomScaleNormal="100" workbookViewId="0">
      <pane ySplit="2" topLeftCell="A3" activePane="bottomLeft" state="frozen"/>
      <selection pane="bottomLeft" activeCell="G17" sqref="G17"/>
    </sheetView>
  </sheetViews>
  <sheetFormatPr baseColWidth="10" defaultColWidth="8.6640625" defaultRowHeight="15" x14ac:dyDescent="0.2"/>
  <cols>
    <col min="1" max="1" width="10" customWidth="1"/>
    <col min="2" max="2" width="7" customWidth="1"/>
    <col min="3" max="3" width="14" customWidth="1"/>
    <col min="4" max="4" width="18" customWidth="1"/>
    <col min="5" max="5" width="15" customWidth="1"/>
    <col min="6" max="6" width="16" customWidth="1"/>
    <col min="7" max="7" width="17" customWidth="1"/>
    <col min="8" max="8" width="16" customWidth="1"/>
    <col min="9" max="9" width="12" customWidth="1"/>
    <col min="10" max="10" width="10" customWidth="1"/>
    <col min="11" max="12" width="14" customWidth="1"/>
    <col min="13" max="14" width="16" customWidth="1"/>
    <col min="15" max="15" width="14" customWidth="1"/>
    <col min="16" max="16" width="16" customWidth="1"/>
  </cols>
  <sheetData>
    <row r="1" spans="1:16" ht="30" customHeight="1" x14ac:dyDescent="0.2">
      <c r="A1" s="13" t="s">
        <v>16</v>
      </c>
      <c r="B1" s="13"/>
      <c r="C1" s="13"/>
      <c r="D1" s="13"/>
      <c r="E1" s="13"/>
      <c r="F1" s="13"/>
      <c r="G1" s="13"/>
      <c r="H1" s="13"/>
      <c r="I1" s="13"/>
      <c r="J1" s="13"/>
      <c r="K1" s="13"/>
      <c r="L1" s="13"/>
      <c r="M1" s="13"/>
      <c r="N1" s="13"/>
      <c r="O1" s="13"/>
      <c r="P1" s="13"/>
    </row>
    <row r="2" spans="1:16" ht="18" customHeight="1" x14ac:dyDescent="0.2">
      <c r="A2" s="12" t="s">
        <v>17</v>
      </c>
      <c r="B2" s="12"/>
      <c r="C2" s="12"/>
      <c r="D2" s="12"/>
      <c r="E2" s="12"/>
      <c r="F2" s="12"/>
      <c r="G2" s="12"/>
      <c r="H2" s="12"/>
      <c r="I2" s="12"/>
      <c r="J2" s="12"/>
      <c r="K2" s="12"/>
      <c r="L2" s="11" t="s">
        <v>18</v>
      </c>
      <c r="M2" s="11"/>
      <c r="N2" s="11"/>
      <c r="O2" s="11"/>
      <c r="P2" s="11"/>
    </row>
    <row r="3" spans="1:16" ht="36" customHeight="1" x14ac:dyDescent="0.2">
      <c r="A3" s="17" t="s">
        <v>19</v>
      </c>
      <c r="B3" s="17" t="s">
        <v>20</v>
      </c>
      <c r="C3" s="17" t="s">
        <v>21</v>
      </c>
      <c r="D3" s="17" t="s">
        <v>22</v>
      </c>
      <c r="E3" s="17" t="s">
        <v>23</v>
      </c>
      <c r="F3" s="17" t="s">
        <v>24</v>
      </c>
      <c r="G3" s="17" t="s">
        <v>25</v>
      </c>
      <c r="H3" s="17" t="s">
        <v>26</v>
      </c>
      <c r="I3" s="17" t="s">
        <v>27</v>
      </c>
      <c r="J3" s="17" t="s">
        <v>28</v>
      </c>
      <c r="K3" s="17" t="s">
        <v>29</v>
      </c>
      <c r="L3" s="17" t="s">
        <v>30</v>
      </c>
      <c r="M3" s="18" t="s">
        <v>31</v>
      </c>
      <c r="N3" s="18" t="s">
        <v>32</v>
      </c>
      <c r="O3" s="18" t="s">
        <v>33</v>
      </c>
      <c r="P3" s="18" t="s">
        <v>34</v>
      </c>
    </row>
    <row r="4" spans="1:16" ht="18" customHeight="1" x14ac:dyDescent="0.2">
      <c r="A4" s="19" t="s">
        <v>35</v>
      </c>
      <c r="B4" s="20">
        <v>34</v>
      </c>
      <c r="C4" s="19" t="s">
        <v>36</v>
      </c>
      <c r="D4" s="19" t="s">
        <v>37</v>
      </c>
      <c r="E4" s="21">
        <v>52000</v>
      </c>
      <c r="F4" s="21">
        <v>19500</v>
      </c>
      <c r="G4" s="21">
        <v>5500</v>
      </c>
      <c r="H4" s="21">
        <v>180000</v>
      </c>
      <c r="I4" s="20">
        <v>60</v>
      </c>
      <c r="J4" s="20">
        <v>724</v>
      </c>
      <c r="K4" s="20">
        <v>0</v>
      </c>
      <c r="L4" s="20">
        <v>8</v>
      </c>
      <c r="M4" s="22">
        <f t="shared" ref="M4:M33" si="0">E4-F4</f>
        <v>32500</v>
      </c>
      <c r="N4" s="90">
        <f>IFERROR(PMT(Assumptions!$B$5,I4,-H4),0)</f>
        <v>4164.9920731050579</v>
      </c>
      <c r="O4" s="24">
        <f t="shared" ref="O4:O33" si="1">IFERROR((G4+N4)/E4,0)</f>
        <v>0.18586523217509729</v>
      </c>
      <c r="P4" s="23">
        <f t="shared" ref="P4:P33" si="2">M4-G4-N4</f>
        <v>22835.007926894941</v>
      </c>
    </row>
    <row r="5" spans="1:16" ht="18" customHeight="1" x14ac:dyDescent="0.2">
      <c r="A5" s="25" t="s">
        <v>38</v>
      </c>
      <c r="B5" s="26">
        <v>27</v>
      </c>
      <c r="C5" s="25" t="s">
        <v>39</v>
      </c>
      <c r="D5" s="25" t="s">
        <v>37</v>
      </c>
      <c r="E5" s="27">
        <v>31000</v>
      </c>
      <c r="F5" s="27">
        <v>13000</v>
      </c>
      <c r="G5" s="27">
        <v>3200</v>
      </c>
      <c r="H5" s="27">
        <v>90000</v>
      </c>
      <c r="I5" s="26">
        <v>48</v>
      </c>
      <c r="J5" s="26">
        <v>648</v>
      </c>
      <c r="K5" s="26">
        <v>1</v>
      </c>
      <c r="L5" s="26">
        <v>3</v>
      </c>
      <c r="M5" s="28">
        <f t="shared" si="0"/>
        <v>18000</v>
      </c>
      <c r="N5" s="90">
        <f>IFERROR(PMT(Assumptions!$B$5,I5,-H5),0)</f>
        <v>2448.1110727029873</v>
      </c>
      <c r="O5" s="30">
        <f t="shared" si="1"/>
        <v>0.18219713137751573</v>
      </c>
      <c r="P5" s="29">
        <f t="shared" si="2"/>
        <v>12351.888927297012</v>
      </c>
    </row>
    <row r="6" spans="1:16" ht="18" customHeight="1" x14ac:dyDescent="0.2">
      <c r="A6" s="19" t="s">
        <v>40</v>
      </c>
      <c r="B6" s="20">
        <v>46</v>
      </c>
      <c r="C6" s="19" t="s">
        <v>36</v>
      </c>
      <c r="D6" s="19" t="s">
        <v>41</v>
      </c>
      <c r="E6" s="21">
        <v>68000</v>
      </c>
      <c r="F6" s="21">
        <v>27000</v>
      </c>
      <c r="G6" s="21">
        <v>9000</v>
      </c>
      <c r="H6" s="21">
        <v>280000</v>
      </c>
      <c r="I6" s="20">
        <v>72</v>
      </c>
      <c r="J6" s="20">
        <v>688</v>
      </c>
      <c r="K6" s="20">
        <v>0</v>
      </c>
      <c r="L6" s="20">
        <v>14</v>
      </c>
      <c r="M6" s="22">
        <f t="shared" si="0"/>
        <v>41000</v>
      </c>
      <c r="N6" s="90">
        <f>IFERROR(PMT(Assumptions!$B$5,I6,-H6),0)</f>
        <v>5732.1911996484469</v>
      </c>
      <c r="O6" s="24">
        <f t="shared" si="1"/>
        <v>0.2166498705830654</v>
      </c>
      <c r="P6" s="23">
        <f t="shared" si="2"/>
        <v>26267.808800351551</v>
      </c>
    </row>
    <row r="7" spans="1:16" ht="18" customHeight="1" x14ac:dyDescent="0.2">
      <c r="A7" s="25" t="s">
        <v>42</v>
      </c>
      <c r="B7" s="26">
        <v>23</v>
      </c>
      <c r="C7" s="25" t="s">
        <v>43</v>
      </c>
      <c r="D7" s="25" t="s">
        <v>44</v>
      </c>
      <c r="E7" s="27">
        <v>19200</v>
      </c>
      <c r="F7" s="27">
        <v>9500</v>
      </c>
      <c r="G7" s="27">
        <v>1500</v>
      </c>
      <c r="H7" s="27">
        <v>48000</v>
      </c>
      <c r="I7" s="26">
        <v>36</v>
      </c>
      <c r="J7" s="26">
        <v>594</v>
      </c>
      <c r="K7" s="26">
        <v>2</v>
      </c>
      <c r="L7" s="26">
        <v>1</v>
      </c>
      <c r="M7" s="28">
        <f t="shared" si="0"/>
        <v>9700</v>
      </c>
      <c r="N7" s="90">
        <f>IFERROR(PMT(Assumptions!$B$5,I7,-H7),0)</f>
        <v>1634.7039730202021</v>
      </c>
      <c r="O7" s="30">
        <f t="shared" si="1"/>
        <v>0.16326583192813554</v>
      </c>
      <c r="P7" s="29">
        <f t="shared" si="2"/>
        <v>6565.2960269797977</v>
      </c>
    </row>
    <row r="8" spans="1:16" ht="18" customHeight="1" x14ac:dyDescent="0.2">
      <c r="A8" s="19" t="s">
        <v>45</v>
      </c>
      <c r="B8" s="20">
        <v>39</v>
      </c>
      <c r="C8" s="19" t="s">
        <v>36</v>
      </c>
      <c r="D8" s="19" t="s">
        <v>37</v>
      </c>
      <c r="E8" s="21">
        <v>58000</v>
      </c>
      <c r="F8" s="21">
        <v>21000</v>
      </c>
      <c r="G8" s="21">
        <v>28000</v>
      </c>
      <c r="H8" s="21">
        <v>220000</v>
      </c>
      <c r="I8" s="20">
        <v>60</v>
      </c>
      <c r="J8" s="20">
        <v>741</v>
      </c>
      <c r="K8" s="20">
        <v>0</v>
      </c>
      <c r="L8" s="20">
        <v>11</v>
      </c>
      <c r="M8" s="22">
        <f t="shared" si="0"/>
        <v>37000</v>
      </c>
      <c r="N8" s="90">
        <f>IFERROR(PMT(Assumptions!$B$5,I8,-H8),0)</f>
        <v>5090.5458671284041</v>
      </c>
      <c r="O8" s="24">
        <f t="shared" si="1"/>
        <v>0.57052665288152427</v>
      </c>
      <c r="P8" s="23">
        <f t="shared" si="2"/>
        <v>3909.4541328715959</v>
      </c>
    </row>
    <row r="9" spans="1:16" ht="18" customHeight="1" x14ac:dyDescent="0.2">
      <c r="A9" s="25" t="s">
        <v>46</v>
      </c>
      <c r="B9" s="26">
        <v>31</v>
      </c>
      <c r="C9" s="25" t="s">
        <v>39</v>
      </c>
      <c r="D9" s="25" t="s">
        <v>37</v>
      </c>
      <c r="E9" s="27">
        <v>36000</v>
      </c>
      <c r="F9" s="27">
        <v>16000</v>
      </c>
      <c r="G9" s="27">
        <v>4200</v>
      </c>
      <c r="H9" s="27">
        <v>110000</v>
      </c>
      <c r="I9" s="26">
        <v>48</v>
      </c>
      <c r="J9" s="26">
        <v>672</v>
      </c>
      <c r="K9" s="26">
        <v>1</v>
      </c>
      <c r="L9" s="26">
        <v>5</v>
      </c>
      <c r="M9" s="28">
        <f t="shared" si="0"/>
        <v>20000</v>
      </c>
      <c r="N9" s="90">
        <f>IFERROR(PMT(Assumptions!$B$5,I9,-H9),0)</f>
        <v>2992.1357555258733</v>
      </c>
      <c r="O9" s="30">
        <f t="shared" si="1"/>
        <v>0.19978154876460757</v>
      </c>
      <c r="P9" s="29">
        <f t="shared" si="2"/>
        <v>12807.864244474127</v>
      </c>
    </row>
    <row r="10" spans="1:16" ht="18" customHeight="1" x14ac:dyDescent="0.2">
      <c r="A10" s="19" t="s">
        <v>47</v>
      </c>
      <c r="B10" s="20">
        <v>29</v>
      </c>
      <c r="C10" s="19" t="s">
        <v>48</v>
      </c>
      <c r="D10" s="19" t="s">
        <v>49</v>
      </c>
      <c r="E10" s="21">
        <v>0</v>
      </c>
      <c r="F10" s="21">
        <v>5500</v>
      </c>
      <c r="G10" s="21">
        <v>0</v>
      </c>
      <c r="H10" s="21">
        <v>28000</v>
      </c>
      <c r="I10" s="20">
        <v>24</v>
      </c>
      <c r="J10" s="20">
        <v>538</v>
      </c>
      <c r="K10" s="20">
        <v>4</v>
      </c>
      <c r="L10" s="20">
        <v>0</v>
      </c>
      <c r="M10" s="22">
        <f t="shared" si="0"/>
        <v>-5500</v>
      </c>
      <c r="N10" s="90">
        <f>IFERROR(PMT(Assumptions!$B$5,I10,-H10),0)</f>
        <v>1341.0562016059769</v>
      </c>
      <c r="O10" s="24">
        <f t="shared" si="1"/>
        <v>0</v>
      </c>
      <c r="P10" s="23">
        <f t="shared" si="2"/>
        <v>-6841.0562016059766</v>
      </c>
    </row>
    <row r="11" spans="1:16" ht="18" customHeight="1" x14ac:dyDescent="0.2">
      <c r="A11" s="25" t="s">
        <v>50</v>
      </c>
      <c r="B11" s="26">
        <v>43</v>
      </c>
      <c r="C11" s="25" t="s">
        <v>36</v>
      </c>
      <c r="D11" s="25" t="s">
        <v>41</v>
      </c>
      <c r="E11" s="27">
        <v>82000</v>
      </c>
      <c r="F11" s="27">
        <v>32000</v>
      </c>
      <c r="G11" s="27">
        <v>33000</v>
      </c>
      <c r="H11" s="27">
        <v>320000</v>
      </c>
      <c r="I11" s="26">
        <v>84</v>
      </c>
      <c r="J11" s="26">
        <v>714</v>
      </c>
      <c r="K11" s="26">
        <v>0</v>
      </c>
      <c r="L11" s="26">
        <v>16</v>
      </c>
      <c r="M11" s="28">
        <f t="shared" si="0"/>
        <v>50000</v>
      </c>
      <c r="N11" s="90">
        <f>IFERROR(PMT(Assumptions!$B$5,I11,-H11),0)</f>
        <v>5952.6974380684915</v>
      </c>
      <c r="O11" s="30">
        <f t="shared" si="1"/>
        <v>0.4750328955862011</v>
      </c>
      <c r="P11" s="29">
        <f t="shared" si="2"/>
        <v>11047.302561931509</v>
      </c>
    </row>
    <row r="12" spans="1:16" ht="18" customHeight="1" x14ac:dyDescent="0.2">
      <c r="A12" s="19" t="s">
        <v>51</v>
      </c>
      <c r="B12" s="20">
        <v>36</v>
      </c>
      <c r="C12" s="19" t="s">
        <v>36</v>
      </c>
      <c r="D12" s="19" t="s">
        <v>37</v>
      </c>
      <c r="E12" s="21">
        <v>44000</v>
      </c>
      <c r="F12" s="21">
        <v>20000</v>
      </c>
      <c r="G12" s="21">
        <v>6500</v>
      </c>
      <c r="H12" s="21">
        <v>130000</v>
      </c>
      <c r="I12" s="20">
        <v>60</v>
      </c>
      <c r="J12" s="20">
        <v>697</v>
      </c>
      <c r="K12" s="20">
        <v>0</v>
      </c>
      <c r="L12" s="20">
        <v>9</v>
      </c>
      <c r="M12" s="22">
        <f t="shared" si="0"/>
        <v>24000</v>
      </c>
      <c r="N12" s="90">
        <f>IFERROR(PMT(Assumptions!$B$5,I12,-H12),0)</f>
        <v>3008.0498305758751</v>
      </c>
      <c r="O12" s="24">
        <f t="shared" si="1"/>
        <v>0.21609204160399717</v>
      </c>
      <c r="P12" s="23">
        <f t="shared" si="2"/>
        <v>14491.950169424124</v>
      </c>
    </row>
    <row r="13" spans="1:16" ht="18" customHeight="1" x14ac:dyDescent="0.2">
      <c r="A13" s="25" t="s">
        <v>52</v>
      </c>
      <c r="B13" s="26">
        <v>26</v>
      </c>
      <c r="C13" s="25" t="s">
        <v>53</v>
      </c>
      <c r="D13" s="25" t="s">
        <v>44</v>
      </c>
      <c r="E13" s="27">
        <v>23000</v>
      </c>
      <c r="F13" s="27">
        <v>11500</v>
      </c>
      <c r="G13" s="27">
        <v>6000</v>
      </c>
      <c r="H13" s="27">
        <v>62000</v>
      </c>
      <c r="I13" s="26">
        <v>36</v>
      </c>
      <c r="J13" s="26">
        <v>618</v>
      </c>
      <c r="K13" s="26">
        <v>1</v>
      </c>
      <c r="L13" s="26">
        <v>2</v>
      </c>
      <c r="M13" s="28">
        <f t="shared" si="0"/>
        <v>11500</v>
      </c>
      <c r="N13" s="90">
        <f>IFERROR(PMT(Assumptions!$B$5,I13,-H13),0)</f>
        <v>2111.4926318177609</v>
      </c>
      <c r="O13" s="30">
        <f t="shared" si="1"/>
        <v>0.35267359268772869</v>
      </c>
      <c r="P13" s="29">
        <f t="shared" si="2"/>
        <v>3388.5073681822391</v>
      </c>
    </row>
    <row r="14" spans="1:16" ht="18" customHeight="1" x14ac:dyDescent="0.2">
      <c r="A14" s="19" t="s">
        <v>54</v>
      </c>
      <c r="B14" s="20">
        <v>51</v>
      </c>
      <c r="C14" s="19" t="s">
        <v>39</v>
      </c>
      <c r="D14" s="19" t="s">
        <v>37</v>
      </c>
      <c r="E14" s="21">
        <v>96000</v>
      </c>
      <c r="F14" s="21">
        <v>37000</v>
      </c>
      <c r="G14" s="21">
        <v>16000</v>
      </c>
      <c r="H14" s="21">
        <v>420000</v>
      </c>
      <c r="I14" s="20">
        <v>84</v>
      </c>
      <c r="J14" s="20">
        <v>762</v>
      </c>
      <c r="K14" s="20">
        <v>0</v>
      </c>
      <c r="L14" s="20">
        <v>23</v>
      </c>
      <c r="M14" s="22">
        <f t="shared" si="0"/>
        <v>59000</v>
      </c>
      <c r="N14" s="90">
        <f>IFERROR(PMT(Assumptions!$B$5,I14,-H14),0)</f>
        <v>7812.9153874648946</v>
      </c>
      <c r="O14" s="24">
        <f t="shared" si="1"/>
        <v>0.24805120195275931</v>
      </c>
      <c r="P14" s="23">
        <f t="shared" si="2"/>
        <v>35187.084612535109</v>
      </c>
    </row>
    <row r="15" spans="1:16" ht="18" customHeight="1" x14ac:dyDescent="0.2">
      <c r="A15" s="25" t="s">
        <v>55</v>
      </c>
      <c r="B15" s="26">
        <v>33</v>
      </c>
      <c r="C15" s="25" t="s">
        <v>36</v>
      </c>
      <c r="D15" s="25" t="s">
        <v>37</v>
      </c>
      <c r="E15" s="27">
        <v>38000</v>
      </c>
      <c r="F15" s="27">
        <v>17500</v>
      </c>
      <c r="G15" s="27">
        <v>5800</v>
      </c>
      <c r="H15" s="27">
        <v>115000</v>
      </c>
      <c r="I15" s="26">
        <v>60</v>
      </c>
      <c r="J15" s="26">
        <v>641</v>
      </c>
      <c r="K15" s="26">
        <v>2</v>
      </c>
      <c r="L15" s="26">
        <v>5</v>
      </c>
      <c r="M15" s="28">
        <f t="shared" si="0"/>
        <v>20500</v>
      </c>
      <c r="N15" s="90">
        <f>IFERROR(PMT(Assumptions!$B$5,I15,-H15),0)</f>
        <v>2660.9671578171206</v>
      </c>
      <c r="O15" s="30">
        <f t="shared" si="1"/>
        <v>0.22265703046887159</v>
      </c>
      <c r="P15" s="29">
        <f t="shared" si="2"/>
        <v>12039.03284218288</v>
      </c>
    </row>
    <row r="16" spans="1:16" ht="18" customHeight="1" x14ac:dyDescent="0.2">
      <c r="A16" s="19" t="s">
        <v>56</v>
      </c>
      <c r="B16" s="20">
        <v>28</v>
      </c>
      <c r="C16" s="19" t="s">
        <v>43</v>
      </c>
      <c r="D16" s="19" t="s">
        <v>44</v>
      </c>
      <c r="E16" s="21">
        <v>21000</v>
      </c>
      <c r="F16" s="21">
        <v>10500</v>
      </c>
      <c r="G16" s="21">
        <v>3000</v>
      </c>
      <c r="H16" s="21">
        <v>68000</v>
      </c>
      <c r="I16" s="20">
        <v>48</v>
      </c>
      <c r="J16" s="20">
        <v>578</v>
      </c>
      <c r="K16" s="20">
        <v>3</v>
      </c>
      <c r="L16" s="20">
        <v>1</v>
      </c>
      <c r="M16" s="22">
        <f t="shared" si="0"/>
        <v>10500</v>
      </c>
      <c r="N16" s="90">
        <f>IFERROR(PMT(Assumptions!$B$5,I16,-H16),0)</f>
        <v>1849.6839215978127</v>
      </c>
      <c r="O16" s="24">
        <f t="shared" si="1"/>
        <v>0.23093732959989582</v>
      </c>
      <c r="P16" s="23">
        <f t="shared" si="2"/>
        <v>5650.3160784021875</v>
      </c>
    </row>
    <row r="17" spans="1:16" ht="18" customHeight="1" x14ac:dyDescent="0.2">
      <c r="A17" s="25" t="s">
        <v>57</v>
      </c>
      <c r="B17" s="26">
        <v>45</v>
      </c>
      <c r="C17" s="25" t="s">
        <v>36</v>
      </c>
      <c r="D17" s="25" t="s">
        <v>41</v>
      </c>
      <c r="E17" s="27">
        <v>59000</v>
      </c>
      <c r="F17" s="27">
        <v>24000</v>
      </c>
      <c r="G17" s="27">
        <v>8000</v>
      </c>
      <c r="H17" s="27">
        <v>195000</v>
      </c>
      <c r="I17" s="26">
        <v>60</v>
      </c>
      <c r="J17" s="26">
        <v>703</v>
      </c>
      <c r="K17" s="26">
        <v>1</v>
      </c>
      <c r="L17" s="26">
        <v>10</v>
      </c>
      <c r="M17" s="28">
        <f t="shared" si="0"/>
        <v>35000</v>
      </c>
      <c r="N17" s="90">
        <f>IFERROR(PMT(Assumptions!$B$5,I17,-H17),0)</f>
        <v>4512.0747458638125</v>
      </c>
      <c r="O17" s="30">
        <f t="shared" si="1"/>
        <v>0.21206906348921717</v>
      </c>
      <c r="P17" s="29">
        <f t="shared" si="2"/>
        <v>22487.925254136186</v>
      </c>
    </row>
    <row r="18" spans="1:16" ht="18" customHeight="1" x14ac:dyDescent="0.2">
      <c r="A18" s="19" t="s">
        <v>58</v>
      </c>
      <c r="B18" s="20">
        <v>38</v>
      </c>
      <c r="C18" s="19" t="s">
        <v>39</v>
      </c>
      <c r="D18" s="19" t="s">
        <v>37</v>
      </c>
      <c r="E18" s="21">
        <v>51000</v>
      </c>
      <c r="F18" s="21">
        <v>22000</v>
      </c>
      <c r="G18" s="21">
        <v>8500</v>
      </c>
      <c r="H18" s="21">
        <v>170000</v>
      </c>
      <c r="I18" s="20">
        <v>72</v>
      </c>
      <c r="J18" s="20">
        <v>728</v>
      </c>
      <c r="K18" s="20">
        <v>0</v>
      </c>
      <c r="L18" s="20">
        <v>12</v>
      </c>
      <c r="M18" s="22">
        <f t="shared" si="0"/>
        <v>29000</v>
      </c>
      <c r="N18" s="90">
        <f>IFERROR(PMT(Assumptions!$B$5,I18,-H18),0)</f>
        <v>3480.2589426436998</v>
      </c>
      <c r="O18" s="24">
        <f t="shared" si="1"/>
        <v>0.23490703809105296</v>
      </c>
      <c r="P18" s="23">
        <f t="shared" si="2"/>
        <v>17019.741057356299</v>
      </c>
    </row>
    <row r="19" spans="1:16" ht="18" customHeight="1" x14ac:dyDescent="0.2">
      <c r="A19" s="25" t="s">
        <v>59</v>
      </c>
      <c r="B19" s="26">
        <v>24</v>
      </c>
      <c r="C19" s="25" t="s">
        <v>60</v>
      </c>
      <c r="D19" s="25" t="s">
        <v>37</v>
      </c>
      <c r="E19" s="27">
        <v>21500</v>
      </c>
      <c r="F19" s="27">
        <v>10000</v>
      </c>
      <c r="G19" s="27">
        <v>1800</v>
      </c>
      <c r="H19" s="27">
        <v>47000</v>
      </c>
      <c r="I19" s="26">
        <v>36</v>
      </c>
      <c r="J19" s="26">
        <v>612</v>
      </c>
      <c r="K19" s="26">
        <v>1</v>
      </c>
      <c r="L19" s="26">
        <v>1</v>
      </c>
      <c r="M19" s="28">
        <f t="shared" si="0"/>
        <v>11500</v>
      </c>
      <c r="N19" s="90">
        <f>IFERROR(PMT(Assumptions!$B$5,I19,-H19),0)</f>
        <v>1600.6476402489477</v>
      </c>
      <c r="O19" s="30">
        <f t="shared" si="1"/>
        <v>0.15816965768599758</v>
      </c>
      <c r="P19" s="29">
        <f t="shared" si="2"/>
        <v>8099.3523597510521</v>
      </c>
    </row>
    <row r="20" spans="1:16" ht="18" customHeight="1" x14ac:dyDescent="0.2">
      <c r="A20" s="19" t="s">
        <v>61</v>
      </c>
      <c r="B20" s="20">
        <v>53</v>
      </c>
      <c r="C20" s="19" t="s">
        <v>36</v>
      </c>
      <c r="D20" s="19" t="s">
        <v>37</v>
      </c>
      <c r="E20" s="21">
        <v>108000</v>
      </c>
      <c r="F20" s="21">
        <v>42000</v>
      </c>
      <c r="G20" s="21">
        <v>19000</v>
      </c>
      <c r="H20" s="21">
        <v>520000</v>
      </c>
      <c r="I20" s="20">
        <v>84</v>
      </c>
      <c r="J20" s="20">
        <v>778</v>
      </c>
      <c r="K20" s="20">
        <v>0</v>
      </c>
      <c r="L20" s="20">
        <v>26</v>
      </c>
      <c r="M20" s="22">
        <f t="shared" si="0"/>
        <v>66000</v>
      </c>
      <c r="N20" s="90">
        <f>IFERROR(PMT(Assumptions!$B$5,I20,-H20),0)</f>
        <v>9673.1333368612977</v>
      </c>
      <c r="O20" s="24">
        <f t="shared" si="1"/>
        <v>0.26549197534130831</v>
      </c>
      <c r="P20" s="23">
        <f t="shared" si="2"/>
        <v>37326.866663138702</v>
      </c>
    </row>
    <row r="21" spans="1:16" ht="18" customHeight="1" x14ac:dyDescent="0.2">
      <c r="A21" s="25" t="s">
        <v>62</v>
      </c>
      <c r="B21" s="26">
        <v>30</v>
      </c>
      <c r="C21" s="25" t="s">
        <v>39</v>
      </c>
      <c r="D21" s="25" t="s">
        <v>41</v>
      </c>
      <c r="E21" s="27">
        <v>37000</v>
      </c>
      <c r="F21" s="27">
        <v>19000</v>
      </c>
      <c r="G21" s="27">
        <v>6200</v>
      </c>
      <c r="H21" s="27">
        <v>95000</v>
      </c>
      <c r="I21" s="26">
        <v>48</v>
      </c>
      <c r="J21" s="26">
        <v>644</v>
      </c>
      <c r="K21" s="26">
        <v>2</v>
      </c>
      <c r="L21" s="26">
        <v>4</v>
      </c>
      <c r="M21" s="28">
        <f t="shared" si="0"/>
        <v>18000</v>
      </c>
      <c r="N21" s="90">
        <f>IFERROR(PMT(Assumptions!$B$5,I21,-H21),0)</f>
        <v>2584.1172434087089</v>
      </c>
      <c r="O21" s="30">
        <f t="shared" si="1"/>
        <v>0.23740857414618133</v>
      </c>
      <c r="P21" s="29">
        <f t="shared" si="2"/>
        <v>9215.8827565912907</v>
      </c>
    </row>
    <row r="22" spans="1:16" ht="18" customHeight="1" x14ac:dyDescent="0.2">
      <c r="A22" s="19" t="s">
        <v>63</v>
      </c>
      <c r="B22" s="20">
        <v>42</v>
      </c>
      <c r="C22" s="19" t="s">
        <v>36</v>
      </c>
      <c r="D22" s="19" t="s">
        <v>37</v>
      </c>
      <c r="E22" s="21">
        <v>69000</v>
      </c>
      <c r="F22" s="21">
        <v>29000</v>
      </c>
      <c r="G22" s="21">
        <v>19000</v>
      </c>
      <c r="H22" s="21">
        <v>295000</v>
      </c>
      <c r="I22" s="20">
        <v>72</v>
      </c>
      <c r="J22" s="20">
        <v>733</v>
      </c>
      <c r="K22" s="20">
        <v>0</v>
      </c>
      <c r="L22" s="20">
        <v>14</v>
      </c>
      <c r="M22" s="22">
        <f t="shared" si="0"/>
        <v>40000</v>
      </c>
      <c r="N22" s="90">
        <f>IFERROR(PMT(Assumptions!$B$5,I22,-H22),0)</f>
        <v>6039.272871058185</v>
      </c>
      <c r="O22" s="24">
        <f t="shared" si="1"/>
        <v>0.3628880126240317</v>
      </c>
      <c r="P22" s="23">
        <f t="shared" si="2"/>
        <v>14960.727128941815</v>
      </c>
    </row>
    <row r="23" spans="1:16" ht="18" customHeight="1" x14ac:dyDescent="0.2">
      <c r="A23" s="25" t="s">
        <v>64</v>
      </c>
      <c r="B23" s="26">
        <v>25</v>
      </c>
      <c r="C23" s="25" t="s">
        <v>65</v>
      </c>
      <c r="D23" s="25" t="s">
        <v>44</v>
      </c>
      <c r="E23" s="27">
        <v>17000</v>
      </c>
      <c r="F23" s="27">
        <v>8500</v>
      </c>
      <c r="G23" s="27">
        <v>800</v>
      </c>
      <c r="H23" s="27">
        <v>38000</v>
      </c>
      <c r="I23" s="26">
        <v>24</v>
      </c>
      <c r="J23" s="26">
        <v>558</v>
      </c>
      <c r="K23" s="26">
        <v>4</v>
      </c>
      <c r="L23" s="26">
        <v>1</v>
      </c>
      <c r="M23" s="28">
        <f t="shared" si="0"/>
        <v>8500</v>
      </c>
      <c r="N23" s="90">
        <f>IFERROR(PMT(Assumptions!$B$5,I23,-H23),0)</f>
        <v>1820.0048450366826</v>
      </c>
      <c r="O23" s="30">
        <f t="shared" si="1"/>
        <v>0.15411793206098132</v>
      </c>
      <c r="P23" s="29">
        <f t="shared" si="2"/>
        <v>5879.995154963317</v>
      </c>
    </row>
    <row r="24" spans="1:16" ht="18" customHeight="1" x14ac:dyDescent="0.2">
      <c r="A24" s="19" t="s">
        <v>66</v>
      </c>
      <c r="B24" s="20">
        <v>37</v>
      </c>
      <c r="C24" s="19" t="s">
        <v>36</v>
      </c>
      <c r="D24" s="19" t="s">
        <v>37</v>
      </c>
      <c r="E24" s="21">
        <v>46000</v>
      </c>
      <c r="F24" s="21">
        <v>21500</v>
      </c>
      <c r="G24" s="21">
        <v>7500</v>
      </c>
      <c r="H24" s="21">
        <v>148000</v>
      </c>
      <c r="I24" s="20">
        <v>60</v>
      </c>
      <c r="J24" s="20">
        <v>687</v>
      </c>
      <c r="K24" s="20">
        <v>1</v>
      </c>
      <c r="L24" s="20">
        <v>8</v>
      </c>
      <c r="M24" s="22">
        <f t="shared" si="0"/>
        <v>24500</v>
      </c>
      <c r="N24" s="90">
        <f>IFERROR(PMT(Assumptions!$B$5,I24,-H24),0)</f>
        <v>3424.5490378863806</v>
      </c>
      <c r="O24" s="24">
        <f t="shared" si="1"/>
        <v>0.23749019647579087</v>
      </c>
      <c r="P24" s="23">
        <f t="shared" si="2"/>
        <v>13575.45096211362</v>
      </c>
    </row>
    <row r="25" spans="1:16" ht="18" customHeight="1" x14ac:dyDescent="0.2">
      <c r="A25" s="25" t="s">
        <v>67</v>
      </c>
      <c r="B25" s="26">
        <v>49</v>
      </c>
      <c r="C25" s="25" t="s">
        <v>39</v>
      </c>
      <c r="D25" s="25" t="s">
        <v>41</v>
      </c>
      <c r="E25" s="27">
        <v>91000</v>
      </c>
      <c r="F25" s="27">
        <v>40000</v>
      </c>
      <c r="G25" s="27">
        <v>15000</v>
      </c>
      <c r="H25" s="27">
        <v>395000</v>
      </c>
      <c r="I25" s="26">
        <v>84</v>
      </c>
      <c r="J25" s="26">
        <v>719</v>
      </c>
      <c r="K25" s="26">
        <v>0</v>
      </c>
      <c r="L25" s="26">
        <v>19</v>
      </c>
      <c r="M25" s="28">
        <f t="shared" si="0"/>
        <v>51000</v>
      </c>
      <c r="N25" s="90">
        <f>IFERROR(PMT(Assumptions!$B$5,I25,-H25),0)</f>
        <v>7347.8609001157938</v>
      </c>
      <c r="O25" s="30">
        <f t="shared" si="1"/>
        <v>0.24558088901226147</v>
      </c>
      <c r="P25" s="29">
        <f t="shared" si="2"/>
        <v>28652.139099884207</v>
      </c>
    </row>
    <row r="26" spans="1:16" ht="18" customHeight="1" x14ac:dyDescent="0.2">
      <c r="A26" s="19" t="s">
        <v>68</v>
      </c>
      <c r="B26" s="20">
        <v>29</v>
      </c>
      <c r="C26" s="19" t="s">
        <v>43</v>
      </c>
      <c r="D26" s="19" t="s">
        <v>37</v>
      </c>
      <c r="E26" s="21">
        <v>33000</v>
      </c>
      <c r="F26" s="21">
        <v>14000</v>
      </c>
      <c r="G26" s="21">
        <v>4800</v>
      </c>
      <c r="H26" s="21">
        <v>98000</v>
      </c>
      <c r="I26" s="20">
        <v>48</v>
      </c>
      <c r="J26" s="20">
        <v>662</v>
      </c>
      <c r="K26" s="20">
        <v>0</v>
      </c>
      <c r="L26" s="20">
        <v>3</v>
      </c>
      <c r="M26" s="22">
        <f t="shared" si="0"/>
        <v>19000</v>
      </c>
      <c r="N26" s="90">
        <f>IFERROR(PMT(Assumptions!$B$5,I26,-H26),0)</f>
        <v>2665.7209458321418</v>
      </c>
      <c r="O26" s="24">
        <f t="shared" si="1"/>
        <v>0.22623396805551943</v>
      </c>
      <c r="P26" s="23">
        <f t="shared" si="2"/>
        <v>11534.279054167859</v>
      </c>
    </row>
    <row r="27" spans="1:16" ht="18" customHeight="1" x14ac:dyDescent="0.2">
      <c r="A27" s="25" t="s">
        <v>69</v>
      </c>
      <c r="B27" s="26">
        <v>35</v>
      </c>
      <c r="C27" s="25" t="s">
        <v>36</v>
      </c>
      <c r="D27" s="25" t="s">
        <v>44</v>
      </c>
      <c r="E27" s="27">
        <v>26000</v>
      </c>
      <c r="F27" s="27">
        <v>13000</v>
      </c>
      <c r="G27" s="27">
        <v>7000</v>
      </c>
      <c r="H27" s="27">
        <v>78000</v>
      </c>
      <c r="I27" s="26">
        <v>48</v>
      </c>
      <c r="J27" s="26">
        <v>603</v>
      </c>
      <c r="K27" s="26">
        <v>2</v>
      </c>
      <c r="L27" s="26">
        <v>2</v>
      </c>
      <c r="M27" s="28">
        <f t="shared" si="0"/>
        <v>13000</v>
      </c>
      <c r="N27" s="90">
        <f>IFERROR(PMT(Assumptions!$B$5,I27,-H27),0)</f>
        <v>2121.6962630092557</v>
      </c>
      <c r="O27" s="30">
        <f t="shared" si="1"/>
        <v>0.35083447165420217</v>
      </c>
      <c r="P27" s="29">
        <f t="shared" si="2"/>
        <v>3878.3037369907443</v>
      </c>
    </row>
    <row r="28" spans="1:16" ht="18" customHeight="1" x14ac:dyDescent="0.2">
      <c r="A28" s="19" t="s">
        <v>70</v>
      </c>
      <c r="B28" s="20">
        <v>41</v>
      </c>
      <c r="C28" s="19" t="s">
        <v>39</v>
      </c>
      <c r="D28" s="19" t="s">
        <v>37</v>
      </c>
      <c r="E28" s="21">
        <v>61000</v>
      </c>
      <c r="F28" s="21">
        <v>25000</v>
      </c>
      <c r="G28" s="21">
        <v>9500</v>
      </c>
      <c r="H28" s="21">
        <v>230000</v>
      </c>
      <c r="I28" s="20">
        <v>72</v>
      </c>
      <c r="J28" s="20">
        <v>745</v>
      </c>
      <c r="K28" s="20">
        <v>0</v>
      </c>
      <c r="L28" s="20">
        <v>13</v>
      </c>
      <c r="M28" s="22">
        <f t="shared" si="0"/>
        <v>36000</v>
      </c>
      <c r="N28" s="90">
        <f>IFERROR(PMT(Assumptions!$B$5,I28,-H28),0)</f>
        <v>4708.5856282826526</v>
      </c>
      <c r="O28" s="24">
        <f t="shared" si="1"/>
        <v>0.23292763325053531</v>
      </c>
      <c r="P28" s="23">
        <f t="shared" si="2"/>
        <v>21791.414371717347</v>
      </c>
    </row>
    <row r="29" spans="1:16" ht="18" customHeight="1" x14ac:dyDescent="0.2">
      <c r="A29" s="25" t="s">
        <v>71</v>
      </c>
      <c r="B29" s="26">
        <v>27</v>
      </c>
      <c r="C29" s="25" t="s">
        <v>36</v>
      </c>
      <c r="D29" s="25" t="s">
        <v>37</v>
      </c>
      <c r="E29" s="27">
        <v>28000</v>
      </c>
      <c r="F29" s="27">
        <v>12000</v>
      </c>
      <c r="G29" s="27">
        <v>2200</v>
      </c>
      <c r="H29" s="27">
        <v>68000</v>
      </c>
      <c r="I29" s="26">
        <v>36</v>
      </c>
      <c r="J29" s="26">
        <v>628</v>
      </c>
      <c r="K29" s="26">
        <v>1</v>
      </c>
      <c r="L29" s="26">
        <v>2</v>
      </c>
      <c r="M29" s="28">
        <f t="shared" si="0"/>
        <v>16000</v>
      </c>
      <c r="N29" s="90">
        <f>IFERROR(PMT(Assumptions!$B$5,I29,-H29),0)</f>
        <v>2315.830628445286</v>
      </c>
      <c r="O29" s="30">
        <f t="shared" si="1"/>
        <v>0.16127966530161739</v>
      </c>
      <c r="P29" s="29">
        <f t="shared" si="2"/>
        <v>11484.169371554714</v>
      </c>
    </row>
    <row r="30" spans="1:16" ht="18" customHeight="1" x14ac:dyDescent="0.2">
      <c r="A30" s="19" t="s">
        <v>72</v>
      </c>
      <c r="B30" s="20">
        <v>56</v>
      </c>
      <c r="C30" s="19" t="s">
        <v>39</v>
      </c>
      <c r="D30" s="19" t="s">
        <v>41</v>
      </c>
      <c r="E30" s="21">
        <v>125000</v>
      </c>
      <c r="F30" s="21">
        <v>52000</v>
      </c>
      <c r="G30" s="21">
        <v>22000</v>
      </c>
      <c r="H30" s="21">
        <v>620000</v>
      </c>
      <c r="I30" s="20">
        <v>84</v>
      </c>
      <c r="J30" s="20">
        <v>783</v>
      </c>
      <c r="K30" s="20">
        <v>0</v>
      </c>
      <c r="L30" s="20">
        <v>29</v>
      </c>
      <c r="M30" s="22">
        <f t="shared" si="0"/>
        <v>73000</v>
      </c>
      <c r="N30" s="90">
        <f>IFERROR(PMT(Assumptions!$B$5,I30,-H30),0)</f>
        <v>11533.351286257703</v>
      </c>
      <c r="O30" s="24">
        <f t="shared" si="1"/>
        <v>0.26826681029006166</v>
      </c>
      <c r="P30" s="23">
        <f t="shared" si="2"/>
        <v>39466.648713742296</v>
      </c>
    </row>
    <row r="31" spans="1:16" ht="18" customHeight="1" x14ac:dyDescent="0.2">
      <c r="A31" s="25" t="s">
        <v>73</v>
      </c>
      <c r="B31" s="26">
        <v>32</v>
      </c>
      <c r="C31" s="25" t="s">
        <v>48</v>
      </c>
      <c r="D31" s="25" t="s">
        <v>49</v>
      </c>
      <c r="E31" s="27">
        <v>0</v>
      </c>
      <c r="F31" s="27">
        <v>6200</v>
      </c>
      <c r="G31" s="27">
        <v>500</v>
      </c>
      <c r="H31" s="27">
        <v>22000</v>
      </c>
      <c r="I31" s="26">
        <v>24</v>
      </c>
      <c r="J31" s="26">
        <v>527</v>
      </c>
      <c r="K31" s="26">
        <v>5</v>
      </c>
      <c r="L31" s="26">
        <v>0</v>
      </c>
      <c r="M31" s="28">
        <f t="shared" si="0"/>
        <v>-6200</v>
      </c>
      <c r="N31" s="90">
        <f>IFERROR(PMT(Assumptions!$B$5,I31,-H31),0)</f>
        <v>1053.6870155475531</v>
      </c>
      <c r="O31" s="30">
        <f t="shared" si="1"/>
        <v>0</v>
      </c>
      <c r="P31" s="29">
        <f t="shared" si="2"/>
        <v>-7753.6870155475535</v>
      </c>
    </row>
    <row r="32" spans="1:16" ht="18" customHeight="1" x14ac:dyDescent="0.2">
      <c r="A32" s="19" t="s">
        <v>74</v>
      </c>
      <c r="B32" s="20">
        <v>40</v>
      </c>
      <c r="C32" s="19" t="s">
        <v>36</v>
      </c>
      <c r="D32" s="19" t="s">
        <v>37</v>
      </c>
      <c r="E32" s="21">
        <v>55000</v>
      </c>
      <c r="F32" s="21">
        <v>24000</v>
      </c>
      <c r="G32" s="21">
        <v>9000</v>
      </c>
      <c r="H32" s="21">
        <v>198000</v>
      </c>
      <c r="I32" s="20">
        <v>60</v>
      </c>
      <c r="J32" s="20">
        <v>708</v>
      </c>
      <c r="K32" s="20">
        <v>0</v>
      </c>
      <c r="L32" s="20">
        <v>10</v>
      </c>
      <c r="M32" s="22">
        <f t="shared" si="0"/>
        <v>31000</v>
      </c>
      <c r="N32" s="90">
        <f>IFERROR(PMT(Assumptions!$B$5,I32,-H32),0)</f>
        <v>4581.4912804155638</v>
      </c>
      <c r="O32" s="24">
        <f t="shared" si="1"/>
        <v>0.24693620509846481</v>
      </c>
      <c r="P32" s="23">
        <f t="shared" si="2"/>
        <v>17418.508719584435</v>
      </c>
    </row>
    <row r="33" spans="1:16" ht="18" customHeight="1" x14ac:dyDescent="0.2">
      <c r="A33" s="25" t="s">
        <v>75</v>
      </c>
      <c r="B33" s="26">
        <v>22</v>
      </c>
      <c r="C33" s="25" t="s">
        <v>43</v>
      </c>
      <c r="D33" s="25" t="s">
        <v>44</v>
      </c>
      <c r="E33" s="27">
        <v>15000</v>
      </c>
      <c r="F33" s="27">
        <v>7500</v>
      </c>
      <c r="G33" s="27">
        <v>0</v>
      </c>
      <c r="H33" s="27">
        <v>32000</v>
      </c>
      <c r="I33" s="26">
        <v>24</v>
      </c>
      <c r="J33" s="26">
        <v>548</v>
      </c>
      <c r="K33" s="26">
        <v>2</v>
      </c>
      <c r="L33" s="26">
        <v>0</v>
      </c>
      <c r="M33" s="28">
        <f t="shared" si="0"/>
        <v>7500</v>
      </c>
      <c r="N33" s="90">
        <f>IFERROR(PMT(Assumptions!$B$5,I33,-H33),0)</f>
        <v>1532.635658978259</v>
      </c>
      <c r="O33" s="30">
        <f t="shared" si="1"/>
        <v>0.1021757105985506</v>
      </c>
      <c r="P33" s="29">
        <f t="shared" si="2"/>
        <v>5967.364341021741</v>
      </c>
    </row>
    <row r="36" spans="1:16" x14ac:dyDescent="0.2">
      <c r="A36" s="10" t="s">
        <v>76</v>
      </c>
      <c r="B36" s="10"/>
      <c r="C36" s="10"/>
      <c r="D36" s="10"/>
    </row>
    <row r="37" spans="1:16" x14ac:dyDescent="0.2">
      <c r="A37" s="9" t="s">
        <v>77</v>
      </c>
      <c r="B37" s="9"/>
      <c r="C37" s="9"/>
      <c r="D37" s="9"/>
    </row>
  </sheetData>
  <mergeCells count="5">
    <mergeCell ref="A1:P1"/>
    <mergeCell ref="A2:K2"/>
    <mergeCell ref="L2:P2"/>
    <mergeCell ref="A36:D36"/>
    <mergeCell ref="A37:D3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5276"/>
  </sheetPr>
  <dimension ref="A1:N63"/>
  <sheetViews>
    <sheetView showGridLines="0" tabSelected="1" zoomScaleNormal="100" workbookViewId="0">
      <pane ySplit="3" topLeftCell="A4" activePane="bottomLeft" state="frozen"/>
      <selection pane="bottomLeft" activeCell="B44" sqref="B44"/>
    </sheetView>
  </sheetViews>
  <sheetFormatPr baseColWidth="10" defaultColWidth="8.6640625" defaultRowHeight="15" x14ac:dyDescent="0.2"/>
  <cols>
    <col min="1" max="1" width="16" customWidth="1"/>
    <col min="2" max="3" width="12" customWidth="1"/>
    <col min="4" max="4" width="41.33203125" bestFit="1" customWidth="1"/>
    <col min="5" max="5" width="8" bestFit="1" customWidth="1"/>
    <col min="6" max="6" width="14" customWidth="1"/>
    <col min="7" max="7" width="12" customWidth="1"/>
    <col min="8" max="9" width="14" customWidth="1"/>
    <col min="10" max="10" width="22" customWidth="1"/>
    <col min="11" max="11" width="14" customWidth="1"/>
    <col min="12" max="12" width="7" customWidth="1"/>
    <col min="13" max="13" width="16" customWidth="1"/>
    <col min="14" max="14" width="36" customWidth="1"/>
  </cols>
  <sheetData>
    <row r="1" spans="1:14" ht="27.75" customHeight="1" x14ac:dyDescent="0.2">
      <c r="A1" s="8" t="s">
        <v>78</v>
      </c>
      <c r="B1" s="8"/>
      <c r="C1" s="8"/>
      <c r="D1" s="8"/>
      <c r="E1" s="8"/>
      <c r="F1" s="8"/>
      <c r="G1" s="8"/>
      <c r="H1" s="8"/>
      <c r="I1" s="8"/>
      <c r="J1" s="8"/>
      <c r="K1" s="8"/>
      <c r="L1" s="8"/>
      <c r="M1" s="8"/>
    </row>
    <row r="2" spans="1:14" ht="19.5" customHeight="1" x14ac:dyDescent="0.2">
      <c r="A2" s="7" t="s">
        <v>79</v>
      </c>
      <c r="B2" s="7"/>
      <c r="C2" s="7"/>
      <c r="D2" s="7"/>
      <c r="E2" s="7"/>
      <c r="F2" s="7"/>
      <c r="G2" s="7"/>
      <c r="H2" s="7"/>
      <c r="I2" s="7"/>
      <c r="J2" s="7"/>
      <c r="K2" s="7"/>
      <c r="L2" s="7"/>
      <c r="M2" s="7"/>
      <c r="N2" s="7"/>
    </row>
    <row r="3" spans="1:14" ht="3.75" customHeight="1" x14ac:dyDescent="0.2"/>
    <row r="4" spans="1:14" ht="18" customHeight="1" x14ac:dyDescent="0.2">
      <c r="A4" s="6" t="s">
        <v>80</v>
      </c>
      <c r="B4" s="6"/>
      <c r="C4" s="6"/>
      <c r="D4" s="6"/>
      <c r="F4" s="6" t="s">
        <v>81</v>
      </c>
      <c r="G4" s="6"/>
      <c r="H4" s="6"/>
      <c r="I4" s="6"/>
      <c r="K4" s="6" t="s">
        <v>82</v>
      </c>
      <c r="L4" s="6"/>
      <c r="M4" s="6"/>
      <c r="N4" s="6"/>
    </row>
    <row r="5" spans="1:14" ht="15.75" customHeight="1" x14ac:dyDescent="0.2">
      <c r="A5" s="31" t="s">
        <v>83</v>
      </c>
      <c r="B5" s="31" t="s">
        <v>84</v>
      </c>
      <c r="C5" s="31" t="s">
        <v>85</v>
      </c>
      <c r="D5" s="31" t="s">
        <v>86</v>
      </c>
      <c r="F5" s="31" t="s">
        <v>83</v>
      </c>
      <c r="G5" s="31" t="s">
        <v>84</v>
      </c>
      <c r="H5" s="31" t="s">
        <v>85</v>
      </c>
      <c r="I5" s="31" t="s">
        <v>86</v>
      </c>
      <c r="K5" s="31" t="s">
        <v>83</v>
      </c>
      <c r="L5" s="31" t="s">
        <v>84</v>
      </c>
      <c r="M5" s="31" t="s">
        <v>85</v>
      </c>
      <c r="N5" s="31" t="s">
        <v>86</v>
      </c>
    </row>
    <row r="6" spans="1:14" ht="16.5" customHeight="1" x14ac:dyDescent="0.2">
      <c r="A6" s="32" t="s">
        <v>87</v>
      </c>
      <c r="B6" s="33">
        <v>25</v>
      </c>
      <c r="C6" s="34" t="s">
        <v>88</v>
      </c>
      <c r="D6" s="32" t="s">
        <v>89</v>
      </c>
      <c r="F6" s="32" t="s">
        <v>90</v>
      </c>
      <c r="G6" s="33">
        <v>20</v>
      </c>
      <c r="H6" s="34" t="s">
        <v>91</v>
      </c>
      <c r="I6" s="32" t="s">
        <v>92</v>
      </c>
      <c r="K6" s="32" t="s">
        <v>93</v>
      </c>
      <c r="L6" s="33">
        <v>20</v>
      </c>
      <c r="M6" s="34" t="s">
        <v>94</v>
      </c>
      <c r="N6" s="32" t="s">
        <v>95</v>
      </c>
    </row>
    <row r="7" spans="1:14" ht="16.5" customHeight="1" x14ac:dyDescent="0.2">
      <c r="A7" s="32" t="s">
        <v>96</v>
      </c>
      <c r="B7" s="33">
        <v>20</v>
      </c>
      <c r="C7" s="34" t="s">
        <v>97</v>
      </c>
      <c r="D7" s="32" t="s">
        <v>98</v>
      </c>
      <c r="F7" s="32" t="s">
        <v>99</v>
      </c>
      <c r="G7" s="33">
        <v>14</v>
      </c>
      <c r="H7" s="34" t="s">
        <v>100</v>
      </c>
      <c r="I7" s="32" t="s">
        <v>101</v>
      </c>
      <c r="K7" s="32" t="s">
        <v>102</v>
      </c>
      <c r="L7" s="33">
        <v>14</v>
      </c>
      <c r="M7" s="34" t="s">
        <v>103</v>
      </c>
      <c r="N7" s="32" t="s">
        <v>104</v>
      </c>
    </row>
    <row r="8" spans="1:14" ht="16.5" customHeight="1" x14ac:dyDescent="0.2">
      <c r="A8" s="35" t="s">
        <v>105</v>
      </c>
      <c r="B8" s="36">
        <v>13</v>
      </c>
      <c r="C8" s="37" t="s">
        <v>106</v>
      </c>
      <c r="D8" s="35" t="s">
        <v>107</v>
      </c>
      <c r="F8" s="35" t="s">
        <v>108</v>
      </c>
      <c r="G8" s="36">
        <v>7</v>
      </c>
      <c r="H8" s="37" t="s">
        <v>109</v>
      </c>
      <c r="I8" s="35" t="s">
        <v>110</v>
      </c>
      <c r="K8" s="35" t="s">
        <v>111</v>
      </c>
      <c r="L8" s="36">
        <v>7</v>
      </c>
      <c r="M8" s="37" t="s">
        <v>112</v>
      </c>
      <c r="N8" s="35" t="s">
        <v>113</v>
      </c>
    </row>
    <row r="9" spans="1:14" ht="16.5" customHeight="1" x14ac:dyDescent="0.2">
      <c r="A9" s="38" t="s">
        <v>114</v>
      </c>
      <c r="B9" s="39">
        <v>5</v>
      </c>
      <c r="C9" s="40" t="s">
        <v>115</v>
      </c>
      <c r="D9" s="38" t="s">
        <v>116</v>
      </c>
      <c r="F9" s="38" t="s">
        <v>117</v>
      </c>
      <c r="G9" s="39">
        <v>2</v>
      </c>
      <c r="H9" s="40" t="s">
        <v>118</v>
      </c>
      <c r="I9" s="38" t="s">
        <v>119</v>
      </c>
      <c r="K9" s="38" t="s">
        <v>120</v>
      </c>
      <c r="L9" s="39">
        <v>2</v>
      </c>
      <c r="M9" s="40" t="s">
        <v>121</v>
      </c>
      <c r="N9" s="38" t="s">
        <v>122</v>
      </c>
    </row>
    <row r="10" spans="1:14" ht="16.5" customHeight="1" x14ac:dyDescent="0.2">
      <c r="A10" s="38" t="s">
        <v>123</v>
      </c>
      <c r="B10" s="39">
        <v>0</v>
      </c>
      <c r="C10" s="40" t="s">
        <v>124</v>
      </c>
      <c r="D10" s="38" t="s">
        <v>125</v>
      </c>
      <c r="F10" s="38" t="s">
        <v>126</v>
      </c>
      <c r="G10" s="39">
        <v>0</v>
      </c>
      <c r="H10" s="40" t="s">
        <v>127</v>
      </c>
      <c r="I10" s="38" t="s">
        <v>128</v>
      </c>
      <c r="K10" s="38" t="s">
        <v>129</v>
      </c>
      <c r="L10" s="39">
        <v>0</v>
      </c>
      <c r="M10" s="40" t="s">
        <v>130</v>
      </c>
      <c r="N10" s="38" t="s">
        <v>131</v>
      </c>
    </row>
    <row r="11" spans="1:14" ht="21.75" customHeight="1" x14ac:dyDescent="0.2">
      <c r="A11" s="5" t="s">
        <v>132</v>
      </c>
      <c r="B11" s="5"/>
      <c r="C11" s="5"/>
      <c r="D11" s="5"/>
      <c r="F11" s="5" t="s">
        <v>133</v>
      </c>
      <c r="G11" s="5"/>
      <c r="H11" s="5"/>
      <c r="I11" s="5"/>
      <c r="K11" s="5" t="s">
        <v>134</v>
      </c>
      <c r="L11" s="5"/>
      <c r="M11" s="5"/>
      <c r="N11" s="5"/>
    </row>
    <row r="17" spans="1:14" ht="18" customHeight="1" x14ac:dyDescent="0.2">
      <c r="A17" s="6" t="s">
        <v>135</v>
      </c>
      <c r="B17" s="6"/>
      <c r="C17" s="6"/>
      <c r="D17" s="6"/>
      <c r="F17" s="6" t="s">
        <v>136</v>
      </c>
      <c r="G17" s="6"/>
      <c r="H17" s="6"/>
      <c r="I17" s="6"/>
      <c r="K17" s="6" t="s">
        <v>137</v>
      </c>
      <c r="L17" s="6"/>
      <c r="M17" s="6"/>
      <c r="N17" s="6"/>
    </row>
    <row r="18" spans="1:14" ht="15.75" customHeight="1" x14ac:dyDescent="0.2">
      <c r="A18" s="31" t="s">
        <v>83</v>
      </c>
      <c r="B18" s="31" t="s">
        <v>84</v>
      </c>
      <c r="C18" s="31" t="s">
        <v>85</v>
      </c>
      <c r="D18" s="31" t="s">
        <v>86</v>
      </c>
      <c r="F18" s="31" t="s">
        <v>83</v>
      </c>
      <c r="G18" s="31" t="s">
        <v>84</v>
      </c>
      <c r="H18" s="31" t="s">
        <v>85</v>
      </c>
      <c r="I18" s="31" t="s">
        <v>86</v>
      </c>
      <c r="K18" s="31" t="s">
        <v>83</v>
      </c>
      <c r="L18" s="31" t="s">
        <v>84</v>
      </c>
      <c r="M18" s="31" t="s">
        <v>85</v>
      </c>
      <c r="N18" s="31" t="s">
        <v>86</v>
      </c>
    </row>
    <row r="19" spans="1:14" ht="16.5" customHeight="1" x14ac:dyDescent="0.2">
      <c r="A19" s="32" t="s">
        <v>37</v>
      </c>
      <c r="B19" s="33">
        <v>15</v>
      </c>
      <c r="C19" s="34" t="s">
        <v>138</v>
      </c>
      <c r="D19" s="32" t="s">
        <v>139</v>
      </c>
      <c r="F19" s="32" t="s">
        <v>140</v>
      </c>
      <c r="G19" s="33">
        <v>10</v>
      </c>
      <c r="H19" s="34" t="s">
        <v>141</v>
      </c>
      <c r="I19" s="32" t="s">
        <v>142</v>
      </c>
      <c r="K19" s="32" t="s">
        <v>143</v>
      </c>
      <c r="L19" s="33">
        <v>10</v>
      </c>
      <c r="M19" s="34" t="s">
        <v>144</v>
      </c>
      <c r="N19" s="32" t="s">
        <v>145</v>
      </c>
    </row>
    <row r="20" spans="1:14" ht="16.5" customHeight="1" x14ac:dyDescent="0.2">
      <c r="A20" s="32" t="s">
        <v>41</v>
      </c>
      <c r="B20" s="33">
        <v>10</v>
      </c>
      <c r="C20" s="34" t="s">
        <v>146</v>
      </c>
      <c r="D20" s="32" t="s">
        <v>147</v>
      </c>
      <c r="F20" s="35" t="s">
        <v>148</v>
      </c>
      <c r="G20" s="36">
        <v>6</v>
      </c>
      <c r="H20" s="37" t="s">
        <v>149</v>
      </c>
      <c r="I20" s="35" t="s">
        <v>150</v>
      </c>
      <c r="K20" s="32" t="s">
        <v>151</v>
      </c>
      <c r="L20" s="33">
        <v>7</v>
      </c>
      <c r="M20" s="34" t="s">
        <v>138</v>
      </c>
      <c r="N20" s="32" t="s">
        <v>152</v>
      </c>
    </row>
    <row r="21" spans="1:14" ht="16.5" customHeight="1" x14ac:dyDescent="0.2">
      <c r="A21" s="35" t="s">
        <v>44</v>
      </c>
      <c r="B21" s="36">
        <v>5</v>
      </c>
      <c r="C21" s="37" t="s">
        <v>153</v>
      </c>
      <c r="D21" s="35" t="s">
        <v>154</v>
      </c>
      <c r="F21" s="38" t="s">
        <v>155</v>
      </c>
      <c r="G21" s="39">
        <v>2</v>
      </c>
      <c r="H21" s="40" t="s">
        <v>156</v>
      </c>
      <c r="I21" s="38" t="s">
        <v>157</v>
      </c>
      <c r="K21" s="35" t="s">
        <v>158</v>
      </c>
      <c r="L21" s="36">
        <v>4</v>
      </c>
      <c r="M21" s="37" t="s">
        <v>159</v>
      </c>
      <c r="N21" s="35" t="s">
        <v>160</v>
      </c>
    </row>
    <row r="22" spans="1:14" ht="16.5" customHeight="1" x14ac:dyDescent="0.2">
      <c r="A22" s="38" t="s">
        <v>49</v>
      </c>
      <c r="B22" s="39">
        <v>0</v>
      </c>
      <c r="C22" s="40" t="s">
        <v>161</v>
      </c>
      <c r="D22" s="38" t="s">
        <v>162</v>
      </c>
      <c r="F22" s="38" t="s">
        <v>163</v>
      </c>
      <c r="G22" s="39">
        <v>0</v>
      </c>
      <c r="H22" s="40" t="s">
        <v>164</v>
      </c>
      <c r="I22" s="38" t="s">
        <v>165</v>
      </c>
      <c r="K22" s="38" t="s">
        <v>166</v>
      </c>
      <c r="L22" s="39">
        <v>1</v>
      </c>
      <c r="M22" s="40" t="s">
        <v>167</v>
      </c>
      <c r="N22" s="38" t="s">
        <v>168</v>
      </c>
    </row>
    <row r="23" spans="1:14" ht="21.75" customHeight="1" x14ac:dyDescent="0.2">
      <c r="A23" s="5" t="s">
        <v>169</v>
      </c>
      <c r="B23" s="5"/>
      <c r="C23" s="5"/>
      <c r="D23" s="5"/>
      <c r="F23" s="5" t="s">
        <v>170</v>
      </c>
      <c r="G23" s="5"/>
      <c r="H23" s="5"/>
      <c r="I23" s="5"/>
      <c r="K23" s="5" t="s">
        <v>171</v>
      </c>
      <c r="L23" s="5"/>
      <c r="M23" s="5"/>
      <c r="N23" s="5"/>
    </row>
    <row r="30" spans="1:14" ht="24" customHeight="1" x14ac:dyDescent="0.2">
      <c r="A30" s="4" t="s">
        <v>172</v>
      </c>
      <c r="B30" s="4"/>
      <c r="C30" s="4"/>
      <c r="D30" s="4"/>
      <c r="E30" s="4"/>
      <c r="F30" s="4"/>
      <c r="G30" s="4"/>
      <c r="H30" s="4"/>
      <c r="I30" s="4"/>
      <c r="J30" s="4"/>
      <c r="K30" s="4"/>
      <c r="L30" s="4"/>
      <c r="M30" s="4"/>
      <c r="N30" s="4"/>
    </row>
    <row r="31" spans="1:14" ht="33.75" customHeight="1" x14ac:dyDescent="0.2">
      <c r="A31" s="17" t="s">
        <v>173</v>
      </c>
      <c r="B31" s="17" t="s">
        <v>174</v>
      </c>
      <c r="C31" s="17" t="s">
        <v>175</v>
      </c>
      <c r="D31" s="17" t="s">
        <v>176</v>
      </c>
      <c r="E31" s="17" t="s">
        <v>177</v>
      </c>
      <c r="F31" s="17" t="s">
        <v>178</v>
      </c>
      <c r="G31" s="17" t="s">
        <v>179</v>
      </c>
      <c r="H31" s="18" t="s">
        <v>180</v>
      </c>
      <c r="I31" s="17" t="s">
        <v>181</v>
      </c>
      <c r="J31" s="17" t="s">
        <v>182</v>
      </c>
      <c r="K31" s="17" t="s">
        <v>183</v>
      </c>
    </row>
    <row r="32" spans="1:14" ht="18" customHeight="1" x14ac:dyDescent="0.2">
      <c r="A32" s="41" t="str">
        <f>Inputs!A4</f>
        <v>SA-2025-001</v>
      </c>
      <c r="B32" s="42">
        <f>IF(Inputs!J4&gt;=750,25,IF(Inputs!J4&gt;=700,20,IF(Inputs!J4&gt;=650,13,IF(Inputs!J4&gt;=580,5,0))))</f>
        <v>20</v>
      </c>
      <c r="C32" s="42">
        <f>IF(Inputs!O4&lt;0.3,20,IF(Inputs!O4&lt;0.4,14,IF(Inputs!O4&lt;0.5,7,IF(Inputs!O4&lt;0.6,2,0))))</f>
        <v>20</v>
      </c>
      <c r="D32" s="42">
        <f>IF(Inputs!P4&gt;12000,20,IF(Inputs!P4&gt;=6000,14,IF(Inputs!P4&gt;=2000,7,IF(Inputs!P4&gt;=0,2,0))))</f>
        <v>20</v>
      </c>
      <c r="E32" s="42">
        <f>IF(Inputs!D4="Permanently Employed",15,IF(Inputs!D4="Self-Employed",10,IF(Inputs!D4="Fixed-Term Contract",5,0)))</f>
        <v>15</v>
      </c>
      <c r="F32" s="42">
        <f>IF(Inputs!K4=0,10,IF(Inputs!K4=1,6,IF(Inputs!K4=2,2,0)))</f>
        <v>10</v>
      </c>
      <c r="G32" s="42">
        <f>IF(Inputs!L4&gt;=10,10,IF(Inputs!L4&gt;=5,7,IF(Inputs!L4&gt;=2,4,1)))</f>
        <v>7</v>
      </c>
      <c r="H32" s="43">
        <f t="shared" ref="H32:H61" si="0">SUM(B32:G32)</f>
        <v>92</v>
      </c>
      <c r="I32" s="22" t="str">
        <f>IF(H32&gt;=Assumptions!$B$16,"Low Risk",IF(H32&gt;=Assumptions!$B$17,"Medium Risk","High Risk"))</f>
        <v>Low Risk</v>
      </c>
      <c r="J32" s="44" t="str">
        <f>IF(OR(Inputs!K4&gt;=3,Inputs!D4="Unemployed",Inputs!P4&lt;0),"POLICY DECLINE","Pass")</f>
        <v>Pass</v>
      </c>
      <c r="K32" s="45" t="str">
        <f>IF(J32="POLICY DECLINE","Decline",IF(H32&gt;=Assumptions!$B$17,"Approve",IF(H32&gt;=Assumptions!$B$18,"Review","Decline")))</f>
        <v>Approve</v>
      </c>
    </row>
    <row r="33" spans="1:11" ht="18" customHeight="1" x14ac:dyDescent="0.2">
      <c r="A33" s="46" t="str">
        <f>Inputs!A5</f>
        <v>SA-2025-002</v>
      </c>
      <c r="B33" s="47">
        <f>IF(Inputs!J5&gt;=750,25,IF(Inputs!J5&gt;=700,20,IF(Inputs!J5&gt;=650,13,IF(Inputs!J5&gt;=580,5,0))))</f>
        <v>5</v>
      </c>
      <c r="C33" s="47">
        <f>IF(Inputs!O5&lt;0.3,20,IF(Inputs!O5&lt;0.4,14,IF(Inputs!O5&lt;0.5,7,IF(Inputs!O5&lt;0.6,2,0))))</f>
        <v>20</v>
      </c>
      <c r="D33" s="47">
        <f>IF(Inputs!P5&gt;12000,20,IF(Inputs!P5&gt;=6000,14,IF(Inputs!P5&gt;=2000,7,IF(Inputs!P5&gt;=0,2,0))))</f>
        <v>20</v>
      </c>
      <c r="E33" s="47">
        <f>IF(Inputs!D5="Permanently Employed",15,IF(Inputs!D5="Self-Employed",10,IF(Inputs!D5="Fixed-Term Contract",5,0)))</f>
        <v>15</v>
      </c>
      <c r="F33" s="47">
        <f>IF(Inputs!K5=0,10,IF(Inputs!K5=1,6,IF(Inputs!K5=2,2,0)))</f>
        <v>6</v>
      </c>
      <c r="G33" s="47">
        <f>IF(Inputs!L5&gt;=10,10,IF(Inputs!L5&gt;=5,7,IF(Inputs!L5&gt;=2,4,1)))</f>
        <v>4</v>
      </c>
      <c r="H33" s="48">
        <f t="shared" si="0"/>
        <v>70</v>
      </c>
      <c r="I33" s="22" t="str">
        <f>IF(H33&gt;=Assumptions!$B$16,"Low Risk",IF(H33&gt;=Assumptions!$B$17,"Medium Risk","High Risk"))</f>
        <v>Low Risk</v>
      </c>
      <c r="J33" s="49" t="str">
        <f>IF(OR(Inputs!K5&gt;=3,Inputs!D5="Unemployed",Inputs!P5&lt;0),"POLICY DECLINE","Pass")</f>
        <v>Pass</v>
      </c>
      <c r="K33" s="50" t="str">
        <f>IF(J33="POLICY DECLINE","Decline",IF(H33&gt;=Assumptions!$B$17,"Approve",IF(H33&gt;=Assumptions!$B$18,"Review","Decline")))</f>
        <v>Approve</v>
      </c>
    </row>
    <row r="34" spans="1:11" ht="18" customHeight="1" x14ac:dyDescent="0.2">
      <c r="A34" s="41" t="str">
        <f>Inputs!A6</f>
        <v>SA-2025-003</v>
      </c>
      <c r="B34" s="42">
        <f>IF(Inputs!J6&gt;=750,25,IF(Inputs!J6&gt;=700,20,IF(Inputs!J6&gt;=650,13,IF(Inputs!J6&gt;=580,5,0))))</f>
        <v>13</v>
      </c>
      <c r="C34" s="42">
        <f>IF(Inputs!O6&lt;0.3,20,IF(Inputs!O6&lt;0.4,14,IF(Inputs!O6&lt;0.5,7,IF(Inputs!O6&lt;0.6,2,0))))</f>
        <v>20</v>
      </c>
      <c r="D34" s="42">
        <f>IF(Inputs!P6&gt;12000,20,IF(Inputs!P6&gt;=6000,14,IF(Inputs!P6&gt;=2000,7,IF(Inputs!P6&gt;=0,2,0))))</f>
        <v>20</v>
      </c>
      <c r="E34" s="42">
        <f>IF(Inputs!D6="Permanently Employed",15,IF(Inputs!D6="Self-Employed",10,IF(Inputs!D6="Fixed-Term Contract",5,0)))</f>
        <v>10</v>
      </c>
      <c r="F34" s="42">
        <f>IF(Inputs!K6=0,10,IF(Inputs!K6=1,6,IF(Inputs!K6=2,2,0)))</f>
        <v>10</v>
      </c>
      <c r="G34" s="42">
        <f>IF(Inputs!L6&gt;=10,10,IF(Inputs!L6&gt;=5,7,IF(Inputs!L6&gt;=2,4,1)))</f>
        <v>10</v>
      </c>
      <c r="H34" s="43">
        <f t="shared" si="0"/>
        <v>83</v>
      </c>
      <c r="I34" s="22" t="str">
        <f>IF(H34&gt;=Assumptions!$B$16,"Low Risk",IF(H34&gt;=Assumptions!$B$17,"Medium Risk","High Risk"))</f>
        <v>Low Risk</v>
      </c>
      <c r="J34" s="44" t="str">
        <f>IF(OR(Inputs!K6&gt;=3,Inputs!D6="Unemployed",Inputs!P6&lt;0),"POLICY DECLINE","Pass")</f>
        <v>Pass</v>
      </c>
      <c r="K34" s="45" t="str">
        <f>IF(J34="POLICY DECLINE","Decline",IF(H34&gt;=Assumptions!$B$17,"Approve",IF(H34&gt;=Assumptions!$B$18,"Review","Decline")))</f>
        <v>Approve</v>
      </c>
    </row>
    <row r="35" spans="1:11" ht="18" customHeight="1" x14ac:dyDescent="0.2">
      <c r="A35" s="46" t="str">
        <f>Inputs!A7</f>
        <v>SA-2025-004</v>
      </c>
      <c r="B35" s="47">
        <f>IF(Inputs!J7&gt;=750,25,IF(Inputs!J7&gt;=700,20,IF(Inputs!J7&gt;=650,13,IF(Inputs!J7&gt;=580,5,0))))</f>
        <v>5</v>
      </c>
      <c r="C35" s="47">
        <f>IF(Inputs!O7&lt;0.3,20,IF(Inputs!O7&lt;0.4,14,IF(Inputs!O7&lt;0.5,7,IF(Inputs!O7&lt;0.6,2,0))))</f>
        <v>20</v>
      </c>
      <c r="D35" s="47">
        <f>IF(Inputs!P7&gt;12000,20,IF(Inputs!P7&gt;=6000,14,IF(Inputs!P7&gt;=2000,7,IF(Inputs!P7&gt;=0,2,0))))</f>
        <v>14</v>
      </c>
      <c r="E35" s="47">
        <f>IF(Inputs!D7="Permanently Employed",15,IF(Inputs!D7="Self-Employed",10,IF(Inputs!D7="Fixed-Term Contract",5,0)))</f>
        <v>5</v>
      </c>
      <c r="F35" s="47">
        <f>IF(Inputs!K7=0,10,IF(Inputs!K7=1,6,IF(Inputs!K7=2,2,0)))</f>
        <v>2</v>
      </c>
      <c r="G35" s="47">
        <f>IF(Inputs!L7&gt;=10,10,IF(Inputs!L7&gt;=5,7,IF(Inputs!L7&gt;=2,4,1)))</f>
        <v>1</v>
      </c>
      <c r="H35" s="48">
        <f t="shared" si="0"/>
        <v>47</v>
      </c>
      <c r="I35" s="22" t="str">
        <f>IF(H35&gt;=Assumptions!$B$16,"Low Risk",IF(H35&gt;=Assumptions!$B$17,"Medium Risk","High Risk"))</f>
        <v>Medium Risk</v>
      </c>
      <c r="J35" s="49" t="str">
        <f>IF(OR(Inputs!K7&gt;=3,Inputs!D7="Unemployed",Inputs!P7&lt;0),"POLICY DECLINE","Pass")</f>
        <v>Pass</v>
      </c>
      <c r="K35" s="50" t="str">
        <f>IF(J35="POLICY DECLINE","Decline",IF(H35&gt;=Assumptions!$B$17,"Approve",IF(H35&gt;=Assumptions!$B$18,"Review","Decline")))</f>
        <v>Approve</v>
      </c>
    </row>
    <row r="36" spans="1:11" ht="18" customHeight="1" x14ac:dyDescent="0.2">
      <c r="A36" s="41" t="str">
        <f>Inputs!A8</f>
        <v>SA-2025-005</v>
      </c>
      <c r="B36" s="42">
        <f>IF(Inputs!J8&gt;=750,25,IF(Inputs!J8&gt;=700,20,IF(Inputs!J8&gt;=650,13,IF(Inputs!J8&gt;=580,5,0))))</f>
        <v>20</v>
      </c>
      <c r="C36" s="42">
        <f>IF(Inputs!O8&lt;0.3,20,IF(Inputs!O8&lt;0.4,14,IF(Inputs!O8&lt;0.5,7,IF(Inputs!O8&lt;0.6,2,0))))</f>
        <v>2</v>
      </c>
      <c r="D36" s="42">
        <f>IF(Inputs!P8&gt;12000,20,IF(Inputs!P8&gt;=6000,14,IF(Inputs!P8&gt;=2000,7,IF(Inputs!P8&gt;=0,2,0))))</f>
        <v>7</v>
      </c>
      <c r="E36" s="42">
        <f>IF(Inputs!D8="Permanently Employed",15,IF(Inputs!D8="Self-Employed",10,IF(Inputs!D8="Fixed-Term Contract",5,0)))</f>
        <v>15</v>
      </c>
      <c r="F36" s="42">
        <f>IF(Inputs!K8=0,10,IF(Inputs!K8=1,6,IF(Inputs!K8=2,2,0)))</f>
        <v>10</v>
      </c>
      <c r="G36" s="42">
        <f>IF(Inputs!L8&gt;=10,10,IF(Inputs!L8&gt;=5,7,IF(Inputs!L8&gt;=2,4,1)))</f>
        <v>10</v>
      </c>
      <c r="H36" s="43">
        <f t="shared" si="0"/>
        <v>64</v>
      </c>
      <c r="I36" s="22" t="str">
        <f>IF(H36&gt;=Assumptions!$B$16,"Low Risk",IF(H36&gt;=Assumptions!$B$17,"Medium Risk","High Risk"))</f>
        <v>Medium Risk</v>
      </c>
      <c r="J36" s="44" t="str">
        <f>IF(OR(Inputs!K8&gt;=3,Inputs!D8="Unemployed",Inputs!P8&lt;0),"POLICY DECLINE","Pass")</f>
        <v>Pass</v>
      </c>
      <c r="K36" s="45" t="str">
        <f>IF(J36="POLICY DECLINE","Decline",IF(H36&gt;=Assumptions!$B$17,"Approve",IF(H36&gt;=Assumptions!$B$18,"Review","Decline")))</f>
        <v>Approve</v>
      </c>
    </row>
    <row r="37" spans="1:11" ht="18" customHeight="1" x14ac:dyDescent="0.2">
      <c r="A37" s="46" t="str">
        <f>Inputs!A9</f>
        <v>SA-2025-006</v>
      </c>
      <c r="B37" s="47">
        <f>IF(Inputs!J9&gt;=750,25,IF(Inputs!J9&gt;=700,20,IF(Inputs!J9&gt;=650,13,IF(Inputs!J9&gt;=580,5,0))))</f>
        <v>13</v>
      </c>
      <c r="C37" s="47">
        <f>IF(Inputs!O9&lt;0.3,20,IF(Inputs!O9&lt;0.4,14,IF(Inputs!O9&lt;0.5,7,IF(Inputs!O9&lt;0.6,2,0))))</f>
        <v>20</v>
      </c>
      <c r="D37" s="47">
        <f>IF(Inputs!P9&gt;12000,20,IF(Inputs!P9&gt;=6000,14,IF(Inputs!P9&gt;=2000,7,IF(Inputs!P9&gt;=0,2,0))))</f>
        <v>20</v>
      </c>
      <c r="E37" s="47">
        <f>IF(Inputs!D9="Permanently Employed",15,IF(Inputs!D9="Self-Employed",10,IF(Inputs!D9="Fixed-Term Contract",5,0)))</f>
        <v>15</v>
      </c>
      <c r="F37" s="47">
        <f>IF(Inputs!K9=0,10,IF(Inputs!K9=1,6,IF(Inputs!K9=2,2,0)))</f>
        <v>6</v>
      </c>
      <c r="G37" s="47">
        <f>IF(Inputs!L9&gt;=10,10,IF(Inputs!L9&gt;=5,7,IF(Inputs!L9&gt;=2,4,1)))</f>
        <v>7</v>
      </c>
      <c r="H37" s="48">
        <f t="shared" si="0"/>
        <v>81</v>
      </c>
      <c r="I37" s="22" t="str">
        <f>IF(H37&gt;=Assumptions!$B$16,"Low Risk",IF(H37&gt;=Assumptions!$B$17,"Medium Risk","High Risk"))</f>
        <v>Low Risk</v>
      </c>
      <c r="J37" s="49" t="str">
        <f>IF(OR(Inputs!K9&gt;=3,Inputs!D9="Unemployed",Inputs!P9&lt;0),"POLICY DECLINE","Pass")</f>
        <v>Pass</v>
      </c>
      <c r="K37" s="50" t="str">
        <f>IF(J37="POLICY DECLINE","Decline",IF(H37&gt;=Assumptions!$B$17,"Approve",IF(H37&gt;=Assumptions!$B$18,"Review","Decline")))</f>
        <v>Approve</v>
      </c>
    </row>
    <row r="38" spans="1:11" ht="18" customHeight="1" x14ac:dyDescent="0.2">
      <c r="A38" s="41" t="str">
        <f>Inputs!A10</f>
        <v>SA-2025-007</v>
      </c>
      <c r="B38" s="42">
        <f>IF(Inputs!J10&gt;=750,25,IF(Inputs!J10&gt;=700,20,IF(Inputs!J10&gt;=650,13,IF(Inputs!J10&gt;=580,5,0))))</f>
        <v>0</v>
      </c>
      <c r="C38" s="42">
        <f>IF(Inputs!O10&lt;0.3,20,IF(Inputs!O10&lt;0.4,14,IF(Inputs!O10&lt;0.5,7,IF(Inputs!O10&lt;0.6,2,0))))</f>
        <v>20</v>
      </c>
      <c r="D38" s="42">
        <f>IF(Inputs!P10&gt;12000,20,IF(Inputs!P10&gt;=6000,14,IF(Inputs!P10&gt;=2000,7,IF(Inputs!P10&gt;=0,2,0))))</f>
        <v>0</v>
      </c>
      <c r="E38" s="42">
        <f>IF(Inputs!D10="Permanently Employed",15,IF(Inputs!D10="Self-Employed",10,IF(Inputs!D10="Fixed-Term Contract",5,0)))</f>
        <v>0</v>
      </c>
      <c r="F38" s="42">
        <f>IF(Inputs!K10=0,10,IF(Inputs!K10=1,6,IF(Inputs!K10=2,2,0)))</f>
        <v>0</v>
      </c>
      <c r="G38" s="42">
        <f>IF(Inputs!L10&gt;=10,10,IF(Inputs!L10&gt;=5,7,IF(Inputs!L10&gt;=2,4,1)))</f>
        <v>1</v>
      </c>
      <c r="H38" s="43">
        <f t="shared" si="0"/>
        <v>21</v>
      </c>
      <c r="I38" s="22" t="str">
        <f>IF(H38&gt;=Assumptions!$B$16,"Low Risk",IF(H38&gt;=Assumptions!$B$17,"Medium Risk","High Risk"))</f>
        <v>High Risk</v>
      </c>
      <c r="J38" s="44" t="str">
        <f>IF(OR(Inputs!K10&gt;=3,Inputs!D10="Unemployed",Inputs!P10&lt;0),"POLICY DECLINE","Pass")</f>
        <v>POLICY DECLINE</v>
      </c>
      <c r="K38" s="45" t="str">
        <f>IF(J38="POLICY DECLINE","Decline",IF(H38&gt;=Assumptions!$B$17,"Approve",IF(H38&gt;=Assumptions!$B$18,"Review","Decline")))</f>
        <v>Decline</v>
      </c>
    </row>
    <row r="39" spans="1:11" ht="18" customHeight="1" x14ac:dyDescent="0.2">
      <c r="A39" s="46" t="str">
        <f>Inputs!A11</f>
        <v>SA-2025-008</v>
      </c>
      <c r="B39" s="47">
        <f>IF(Inputs!J11&gt;=750,25,IF(Inputs!J11&gt;=700,20,IF(Inputs!J11&gt;=650,13,IF(Inputs!J11&gt;=580,5,0))))</f>
        <v>20</v>
      </c>
      <c r="C39" s="47">
        <f>IF(Inputs!O11&lt;0.3,20,IF(Inputs!O11&lt;0.4,14,IF(Inputs!O11&lt;0.5,7,IF(Inputs!O11&lt;0.6,2,0))))</f>
        <v>7</v>
      </c>
      <c r="D39" s="47">
        <f>IF(Inputs!P11&gt;12000,20,IF(Inputs!P11&gt;=6000,14,IF(Inputs!P11&gt;=2000,7,IF(Inputs!P11&gt;=0,2,0))))</f>
        <v>14</v>
      </c>
      <c r="E39" s="47">
        <f>IF(Inputs!D11="Permanently Employed",15,IF(Inputs!D11="Self-Employed",10,IF(Inputs!D11="Fixed-Term Contract",5,0)))</f>
        <v>10</v>
      </c>
      <c r="F39" s="47">
        <f>IF(Inputs!K11=0,10,IF(Inputs!K11=1,6,IF(Inputs!K11=2,2,0)))</f>
        <v>10</v>
      </c>
      <c r="G39" s="47">
        <f>IF(Inputs!L11&gt;=10,10,IF(Inputs!L11&gt;=5,7,IF(Inputs!L11&gt;=2,4,1)))</f>
        <v>10</v>
      </c>
      <c r="H39" s="48">
        <f t="shared" si="0"/>
        <v>71</v>
      </c>
      <c r="I39" s="22" t="str">
        <f>IF(H39&gt;=Assumptions!$B$16,"Low Risk",IF(H39&gt;=Assumptions!$B$17,"Medium Risk","High Risk"))</f>
        <v>Low Risk</v>
      </c>
      <c r="J39" s="49" t="str">
        <f>IF(OR(Inputs!K11&gt;=3,Inputs!D11="Unemployed",Inputs!P11&lt;0),"POLICY DECLINE","Pass")</f>
        <v>Pass</v>
      </c>
      <c r="K39" s="50" t="str">
        <f>IF(J39="POLICY DECLINE","Decline",IF(H39&gt;=Assumptions!$B$17,"Approve",IF(H39&gt;=Assumptions!$B$18,"Review","Decline")))</f>
        <v>Approve</v>
      </c>
    </row>
    <row r="40" spans="1:11" ht="18" customHeight="1" x14ac:dyDescent="0.2">
      <c r="A40" s="41" t="str">
        <f>Inputs!A12</f>
        <v>SA-2025-009</v>
      </c>
      <c r="B40" s="42">
        <f>IF(Inputs!J12&gt;=750,25,IF(Inputs!J12&gt;=700,20,IF(Inputs!J12&gt;=650,13,IF(Inputs!J12&gt;=580,5,0))))</f>
        <v>13</v>
      </c>
      <c r="C40" s="42">
        <f>IF(Inputs!O12&lt;0.3,20,IF(Inputs!O12&lt;0.4,14,IF(Inputs!O12&lt;0.5,7,IF(Inputs!O12&lt;0.6,2,0))))</f>
        <v>20</v>
      </c>
      <c r="D40" s="42">
        <f>IF(Inputs!P12&gt;12000,20,IF(Inputs!P12&gt;=6000,14,IF(Inputs!P12&gt;=2000,7,IF(Inputs!P12&gt;=0,2,0))))</f>
        <v>20</v>
      </c>
      <c r="E40" s="42">
        <f>IF(Inputs!D12="Permanently Employed",15,IF(Inputs!D12="Self-Employed",10,IF(Inputs!D12="Fixed-Term Contract",5,0)))</f>
        <v>15</v>
      </c>
      <c r="F40" s="42">
        <f>IF(Inputs!K12=0,10,IF(Inputs!K12=1,6,IF(Inputs!K12=2,2,0)))</f>
        <v>10</v>
      </c>
      <c r="G40" s="42">
        <f>IF(Inputs!L12&gt;=10,10,IF(Inputs!L12&gt;=5,7,IF(Inputs!L12&gt;=2,4,1)))</f>
        <v>7</v>
      </c>
      <c r="H40" s="43">
        <f t="shared" si="0"/>
        <v>85</v>
      </c>
      <c r="I40" s="22" t="str">
        <f>IF(H40&gt;=Assumptions!$B$16,"Low Risk",IF(H40&gt;=Assumptions!$B$17,"Medium Risk","High Risk"))</f>
        <v>Low Risk</v>
      </c>
      <c r="J40" s="44" t="str">
        <f>IF(OR(Inputs!K12&gt;=3,Inputs!D12="Unemployed",Inputs!P12&lt;0),"POLICY DECLINE","Pass")</f>
        <v>Pass</v>
      </c>
      <c r="K40" s="45" t="str">
        <f>IF(J40="POLICY DECLINE","Decline",IF(H40&gt;=Assumptions!$B$17,"Approve",IF(H40&gt;=Assumptions!$B$18,"Review","Decline")))</f>
        <v>Approve</v>
      </c>
    </row>
    <row r="41" spans="1:11" ht="18" customHeight="1" x14ac:dyDescent="0.2">
      <c r="A41" s="46" t="str">
        <f>Inputs!A13</f>
        <v>SA-2025-010</v>
      </c>
      <c r="B41" s="47">
        <f>IF(Inputs!J13&gt;=750,25,IF(Inputs!J13&gt;=700,20,IF(Inputs!J13&gt;=650,13,IF(Inputs!J13&gt;=580,5,0))))</f>
        <v>5</v>
      </c>
      <c r="C41" s="47">
        <f>IF(Inputs!O13&lt;0.3,20,IF(Inputs!O13&lt;0.4,14,IF(Inputs!O13&lt;0.5,7,IF(Inputs!O13&lt;0.6,2,0))))</f>
        <v>14</v>
      </c>
      <c r="D41" s="47">
        <f>IF(Inputs!P13&gt;12000,20,IF(Inputs!P13&gt;=6000,14,IF(Inputs!P13&gt;=2000,7,IF(Inputs!P13&gt;=0,2,0))))</f>
        <v>7</v>
      </c>
      <c r="E41" s="47">
        <f>IF(Inputs!D13="Permanently Employed",15,IF(Inputs!D13="Self-Employed",10,IF(Inputs!D13="Fixed-Term Contract",5,0)))</f>
        <v>5</v>
      </c>
      <c r="F41" s="47">
        <f>IF(Inputs!K13=0,10,IF(Inputs!K13=1,6,IF(Inputs!K13=2,2,0)))</f>
        <v>6</v>
      </c>
      <c r="G41" s="47">
        <f>IF(Inputs!L13&gt;=10,10,IF(Inputs!L13&gt;=5,7,IF(Inputs!L13&gt;=2,4,1)))</f>
        <v>4</v>
      </c>
      <c r="H41" s="48">
        <f t="shared" si="0"/>
        <v>41</v>
      </c>
      <c r="I41" s="22" t="str">
        <f>IF(H41&gt;=Assumptions!$B$16,"Low Risk",IF(H41&gt;=Assumptions!$B$17,"Medium Risk","High Risk"))</f>
        <v>High Risk</v>
      </c>
      <c r="J41" s="49" t="str">
        <f>IF(OR(Inputs!K13&gt;=3,Inputs!D13="Unemployed",Inputs!P13&lt;0),"POLICY DECLINE","Pass")</f>
        <v>Pass</v>
      </c>
      <c r="K41" s="50" t="str">
        <f>IF(J41="POLICY DECLINE","Decline",IF(H41&gt;=Assumptions!$B$17,"Approve",IF(H41&gt;=Assumptions!$B$18,"Review","Decline")))</f>
        <v>Decline</v>
      </c>
    </row>
    <row r="42" spans="1:11" ht="18" customHeight="1" x14ac:dyDescent="0.2">
      <c r="A42" s="41" t="str">
        <f>Inputs!A14</f>
        <v>SA-2025-011</v>
      </c>
      <c r="B42" s="42">
        <f>IF(Inputs!J14&gt;=750,25,IF(Inputs!J14&gt;=700,20,IF(Inputs!J14&gt;=650,13,IF(Inputs!J14&gt;=580,5,0))))</f>
        <v>25</v>
      </c>
      <c r="C42" s="42">
        <f>IF(Inputs!O14&lt;0.3,20,IF(Inputs!O14&lt;0.4,14,IF(Inputs!O14&lt;0.5,7,IF(Inputs!O14&lt;0.6,2,0))))</f>
        <v>20</v>
      </c>
      <c r="D42" s="42">
        <f>IF(Inputs!P14&gt;12000,20,IF(Inputs!P14&gt;=6000,14,IF(Inputs!P14&gt;=2000,7,IF(Inputs!P14&gt;=0,2,0))))</f>
        <v>20</v>
      </c>
      <c r="E42" s="42">
        <f>IF(Inputs!D14="Permanently Employed",15,IF(Inputs!D14="Self-Employed",10,IF(Inputs!D14="Fixed-Term Contract",5,0)))</f>
        <v>15</v>
      </c>
      <c r="F42" s="42">
        <f>IF(Inputs!K14=0,10,IF(Inputs!K14=1,6,IF(Inputs!K14=2,2,0)))</f>
        <v>10</v>
      </c>
      <c r="G42" s="42">
        <f>IF(Inputs!L14&gt;=10,10,IF(Inputs!L14&gt;=5,7,IF(Inputs!L14&gt;=2,4,1)))</f>
        <v>10</v>
      </c>
      <c r="H42" s="43">
        <f t="shared" si="0"/>
        <v>100</v>
      </c>
      <c r="I42" s="22" t="str">
        <f>IF(H42&gt;=Assumptions!$B$16,"Low Risk",IF(H42&gt;=Assumptions!$B$17,"Medium Risk","High Risk"))</f>
        <v>Low Risk</v>
      </c>
      <c r="J42" s="44" t="str">
        <f>IF(OR(Inputs!K14&gt;=3,Inputs!D14="Unemployed",Inputs!P14&lt;0),"POLICY DECLINE","Pass")</f>
        <v>Pass</v>
      </c>
      <c r="K42" s="45" t="str">
        <f>IF(J42="POLICY DECLINE","Decline",IF(H42&gt;=Assumptions!$B$17,"Approve",IF(H42&gt;=Assumptions!$B$18,"Review","Decline")))</f>
        <v>Approve</v>
      </c>
    </row>
    <row r="43" spans="1:11" ht="18" customHeight="1" x14ac:dyDescent="0.2">
      <c r="A43" s="46" t="str">
        <f>Inputs!A15</f>
        <v>SA-2025-012</v>
      </c>
      <c r="B43" s="47">
        <f>IF(Inputs!J15&gt;=750,25,IF(Inputs!J15&gt;=700,20,IF(Inputs!J15&gt;=650,13,IF(Inputs!J15&gt;=580,5,0))))</f>
        <v>5</v>
      </c>
      <c r="C43" s="47">
        <f>IF(Inputs!O15&lt;0.3,20,IF(Inputs!O15&lt;0.4,14,IF(Inputs!O15&lt;0.5,7,IF(Inputs!O15&lt;0.6,2,0))))</f>
        <v>20</v>
      </c>
      <c r="D43" s="47">
        <f>IF(Inputs!P15&gt;12000,20,IF(Inputs!P15&gt;=6000,14,IF(Inputs!P15&gt;=2000,7,IF(Inputs!P15&gt;=0,2,0))))</f>
        <v>20</v>
      </c>
      <c r="E43" s="47">
        <f>IF(Inputs!D15="Permanently Employed",15,IF(Inputs!D15="Self-Employed",10,IF(Inputs!D15="Fixed-Term Contract",5,0)))</f>
        <v>15</v>
      </c>
      <c r="F43" s="47">
        <f>IF(Inputs!K15=0,10,IF(Inputs!K15=1,6,IF(Inputs!K15=2,2,0)))</f>
        <v>2</v>
      </c>
      <c r="G43" s="47">
        <f>IF(Inputs!L15&gt;=10,10,IF(Inputs!L15&gt;=5,7,IF(Inputs!L15&gt;=2,4,1)))</f>
        <v>7</v>
      </c>
      <c r="H43" s="48">
        <f t="shared" si="0"/>
        <v>69</v>
      </c>
      <c r="I43" s="22" t="str">
        <f>IF(H43&gt;=Assumptions!$B$16,"Low Risk",IF(H43&gt;=Assumptions!$B$17,"Medium Risk","High Risk"))</f>
        <v>Low Risk</v>
      </c>
      <c r="J43" s="49" t="str">
        <f>IF(OR(Inputs!K15&gt;=3,Inputs!D15="Unemployed",Inputs!P15&lt;0),"POLICY DECLINE","Pass")</f>
        <v>Pass</v>
      </c>
      <c r="K43" s="50" t="str">
        <f>IF(J43="POLICY DECLINE","Decline",IF(H43&gt;=Assumptions!$B$17,"Approve",IF(H43&gt;=Assumptions!$B$18,"Review","Decline")))</f>
        <v>Approve</v>
      </c>
    </row>
    <row r="44" spans="1:11" ht="18" customHeight="1" x14ac:dyDescent="0.2">
      <c r="A44" s="41" t="str">
        <f>Inputs!A16</f>
        <v>SA-2025-013</v>
      </c>
      <c r="B44" s="42">
        <f>IF(Inputs!J16&gt;=750,25,IF(Inputs!J16&gt;=700,20,IF(Inputs!J16&gt;=650,13,IF(Inputs!J16&gt;=580,5,0))))</f>
        <v>0</v>
      </c>
      <c r="C44" s="42">
        <f>IF(Inputs!O16&lt;0.3,20,IF(Inputs!O16&lt;0.4,14,IF(Inputs!O16&lt;0.5,7,IF(Inputs!O16&lt;0.6,2,0))))</f>
        <v>20</v>
      </c>
      <c r="D44" s="42">
        <f>IF(Inputs!P16&gt;12000,20,IF(Inputs!P16&gt;=6000,14,IF(Inputs!P16&gt;=2000,7,IF(Inputs!P16&gt;=0,2,0))))</f>
        <v>7</v>
      </c>
      <c r="E44" s="42">
        <f>IF(Inputs!D16="Permanently Employed",15,IF(Inputs!D16="Self-Employed",10,IF(Inputs!D16="Fixed-Term Contract",5,0)))</f>
        <v>5</v>
      </c>
      <c r="F44" s="42">
        <f>IF(Inputs!K16=0,10,IF(Inputs!K16=1,6,IF(Inputs!K16=2,2,0)))</f>
        <v>0</v>
      </c>
      <c r="G44" s="42">
        <f>IF(Inputs!L16&gt;=10,10,IF(Inputs!L16&gt;=5,7,IF(Inputs!L16&gt;=2,4,1)))</f>
        <v>1</v>
      </c>
      <c r="H44" s="43">
        <f t="shared" si="0"/>
        <v>33</v>
      </c>
      <c r="I44" s="22" t="str">
        <f>IF(H44&gt;=Assumptions!$B$16,"Low Risk",IF(H44&gt;=Assumptions!$B$17,"Medium Risk","High Risk"))</f>
        <v>High Risk</v>
      </c>
      <c r="J44" s="44" t="str">
        <f>IF(OR(Inputs!K16&gt;=3,Inputs!D16="Unemployed",Inputs!P16&lt;0),"POLICY DECLINE","Pass")</f>
        <v>POLICY DECLINE</v>
      </c>
      <c r="K44" s="45" t="str">
        <f>IF(J44="POLICY DECLINE","Decline",IF(H44&gt;=Assumptions!$B$17,"Approve",IF(H44&gt;=Assumptions!$B$18,"Review","Decline")))</f>
        <v>Decline</v>
      </c>
    </row>
    <row r="45" spans="1:11" ht="18" customHeight="1" x14ac:dyDescent="0.2">
      <c r="A45" s="46" t="str">
        <f>Inputs!A17</f>
        <v>SA-2025-014</v>
      </c>
      <c r="B45" s="47">
        <f>IF(Inputs!J17&gt;=750,25,IF(Inputs!J17&gt;=700,20,IF(Inputs!J17&gt;=650,13,IF(Inputs!J17&gt;=580,5,0))))</f>
        <v>20</v>
      </c>
      <c r="C45" s="47">
        <f>IF(Inputs!O17&lt;0.3,20,IF(Inputs!O17&lt;0.4,14,IF(Inputs!O17&lt;0.5,7,IF(Inputs!O17&lt;0.6,2,0))))</f>
        <v>20</v>
      </c>
      <c r="D45" s="47">
        <f>IF(Inputs!P17&gt;12000,20,IF(Inputs!P17&gt;=6000,14,IF(Inputs!P17&gt;=2000,7,IF(Inputs!P17&gt;=0,2,0))))</f>
        <v>20</v>
      </c>
      <c r="E45" s="47">
        <f>IF(Inputs!D17="Permanently Employed",15,IF(Inputs!D17="Self-Employed",10,IF(Inputs!D17="Fixed-Term Contract",5,0)))</f>
        <v>10</v>
      </c>
      <c r="F45" s="47">
        <f>IF(Inputs!K17=0,10,IF(Inputs!K17=1,6,IF(Inputs!K17=2,2,0)))</f>
        <v>6</v>
      </c>
      <c r="G45" s="47">
        <f>IF(Inputs!L17&gt;=10,10,IF(Inputs!L17&gt;=5,7,IF(Inputs!L17&gt;=2,4,1)))</f>
        <v>10</v>
      </c>
      <c r="H45" s="48">
        <f t="shared" si="0"/>
        <v>86</v>
      </c>
      <c r="I45" s="22" t="str">
        <f>IF(H45&gt;=Assumptions!$B$16,"Low Risk",IF(H45&gt;=Assumptions!$B$17,"Medium Risk","High Risk"))</f>
        <v>Low Risk</v>
      </c>
      <c r="J45" s="49" t="str">
        <f>IF(OR(Inputs!K17&gt;=3,Inputs!D17="Unemployed",Inputs!P17&lt;0),"POLICY DECLINE","Pass")</f>
        <v>Pass</v>
      </c>
      <c r="K45" s="50" t="str">
        <f>IF(J45="POLICY DECLINE","Decline",IF(H45&gt;=Assumptions!$B$17,"Approve",IF(H45&gt;=Assumptions!$B$18,"Review","Decline")))</f>
        <v>Approve</v>
      </c>
    </row>
    <row r="46" spans="1:11" ht="18" customHeight="1" x14ac:dyDescent="0.2">
      <c r="A46" s="41" t="str">
        <f>Inputs!A18</f>
        <v>SA-2025-015</v>
      </c>
      <c r="B46" s="42">
        <f>IF(Inputs!J18&gt;=750,25,IF(Inputs!J18&gt;=700,20,IF(Inputs!J18&gt;=650,13,IF(Inputs!J18&gt;=580,5,0))))</f>
        <v>20</v>
      </c>
      <c r="C46" s="42">
        <f>IF(Inputs!O18&lt;0.3,20,IF(Inputs!O18&lt;0.4,14,IF(Inputs!O18&lt;0.5,7,IF(Inputs!O18&lt;0.6,2,0))))</f>
        <v>20</v>
      </c>
      <c r="D46" s="42">
        <f>IF(Inputs!P18&gt;12000,20,IF(Inputs!P18&gt;=6000,14,IF(Inputs!P18&gt;=2000,7,IF(Inputs!P18&gt;=0,2,0))))</f>
        <v>20</v>
      </c>
      <c r="E46" s="42">
        <f>IF(Inputs!D18="Permanently Employed",15,IF(Inputs!D18="Self-Employed",10,IF(Inputs!D18="Fixed-Term Contract",5,0)))</f>
        <v>15</v>
      </c>
      <c r="F46" s="42">
        <f>IF(Inputs!K18=0,10,IF(Inputs!K18=1,6,IF(Inputs!K18=2,2,0)))</f>
        <v>10</v>
      </c>
      <c r="G46" s="42">
        <f>IF(Inputs!L18&gt;=10,10,IF(Inputs!L18&gt;=5,7,IF(Inputs!L18&gt;=2,4,1)))</f>
        <v>10</v>
      </c>
      <c r="H46" s="43">
        <f t="shared" si="0"/>
        <v>95</v>
      </c>
      <c r="I46" s="22" t="str">
        <f>IF(H46&gt;=Assumptions!$B$16,"Low Risk",IF(H46&gt;=Assumptions!$B$17,"Medium Risk","High Risk"))</f>
        <v>Low Risk</v>
      </c>
      <c r="J46" s="44" t="str">
        <f>IF(OR(Inputs!K18&gt;=3,Inputs!D18="Unemployed",Inputs!P18&lt;0),"POLICY DECLINE","Pass")</f>
        <v>Pass</v>
      </c>
      <c r="K46" s="45" t="str">
        <f>IF(J46="POLICY DECLINE","Decline",IF(H46&gt;=Assumptions!$B$17,"Approve",IF(H46&gt;=Assumptions!$B$18,"Review","Decline")))</f>
        <v>Approve</v>
      </c>
    </row>
    <row r="47" spans="1:11" ht="18" customHeight="1" x14ac:dyDescent="0.2">
      <c r="A47" s="46" t="str">
        <f>Inputs!A19</f>
        <v>SA-2025-016</v>
      </c>
      <c r="B47" s="47">
        <f>IF(Inputs!J19&gt;=750,25,IF(Inputs!J19&gt;=700,20,IF(Inputs!J19&gt;=650,13,IF(Inputs!J19&gt;=580,5,0))))</f>
        <v>5</v>
      </c>
      <c r="C47" s="47">
        <f>IF(Inputs!O19&lt;0.3,20,IF(Inputs!O19&lt;0.4,14,IF(Inputs!O19&lt;0.5,7,IF(Inputs!O19&lt;0.6,2,0))))</f>
        <v>20</v>
      </c>
      <c r="D47" s="47">
        <f>IF(Inputs!P19&gt;12000,20,IF(Inputs!P19&gt;=6000,14,IF(Inputs!P19&gt;=2000,7,IF(Inputs!P19&gt;=0,2,0))))</f>
        <v>14</v>
      </c>
      <c r="E47" s="47">
        <f>IF(Inputs!D19="Permanently Employed",15,IF(Inputs!D19="Self-Employed",10,IF(Inputs!D19="Fixed-Term Contract",5,0)))</f>
        <v>15</v>
      </c>
      <c r="F47" s="47">
        <f>IF(Inputs!K19=0,10,IF(Inputs!K19=1,6,IF(Inputs!K19=2,2,0)))</f>
        <v>6</v>
      </c>
      <c r="G47" s="47">
        <f>IF(Inputs!L19&gt;=10,10,IF(Inputs!L19&gt;=5,7,IF(Inputs!L19&gt;=2,4,1)))</f>
        <v>1</v>
      </c>
      <c r="H47" s="48">
        <f t="shared" si="0"/>
        <v>61</v>
      </c>
      <c r="I47" s="22" t="str">
        <f>IF(H47&gt;=Assumptions!$B$16,"Low Risk",IF(H47&gt;=Assumptions!$B$17,"Medium Risk","High Risk"))</f>
        <v>Medium Risk</v>
      </c>
      <c r="J47" s="49" t="str">
        <f>IF(OR(Inputs!K19&gt;=3,Inputs!D19="Unemployed",Inputs!P19&lt;0),"POLICY DECLINE","Pass")</f>
        <v>Pass</v>
      </c>
      <c r="K47" s="50" t="str">
        <f>IF(J47="POLICY DECLINE","Decline",IF(H47&gt;=Assumptions!$B$17,"Approve",IF(H47&gt;=Assumptions!$B$18,"Review","Decline")))</f>
        <v>Approve</v>
      </c>
    </row>
    <row r="48" spans="1:11" ht="18" customHeight="1" x14ac:dyDescent="0.2">
      <c r="A48" s="41" t="str">
        <f>Inputs!A20</f>
        <v>SA-2025-017</v>
      </c>
      <c r="B48" s="42">
        <f>IF(Inputs!J20&gt;=750,25,IF(Inputs!J20&gt;=700,20,IF(Inputs!J20&gt;=650,13,IF(Inputs!J20&gt;=580,5,0))))</f>
        <v>25</v>
      </c>
      <c r="C48" s="42">
        <f>IF(Inputs!O20&lt;0.3,20,IF(Inputs!O20&lt;0.4,14,IF(Inputs!O20&lt;0.5,7,IF(Inputs!O20&lt;0.6,2,0))))</f>
        <v>20</v>
      </c>
      <c r="D48" s="42">
        <f>IF(Inputs!P20&gt;12000,20,IF(Inputs!P20&gt;=6000,14,IF(Inputs!P20&gt;=2000,7,IF(Inputs!P20&gt;=0,2,0))))</f>
        <v>20</v>
      </c>
      <c r="E48" s="42">
        <f>IF(Inputs!D20="Permanently Employed",15,IF(Inputs!D20="Self-Employed",10,IF(Inputs!D20="Fixed-Term Contract",5,0)))</f>
        <v>15</v>
      </c>
      <c r="F48" s="42">
        <f>IF(Inputs!K20=0,10,IF(Inputs!K20=1,6,IF(Inputs!K20=2,2,0)))</f>
        <v>10</v>
      </c>
      <c r="G48" s="42">
        <f>IF(Inputs!L20&gt;=10,10,IF(Inputs!L20&gt;=5,7,IF(Inputs!L20&gt;=2,4,1)))</f>
        <v>10</v>
      </c>
      <c r="H48" s="43">
        <f t="shared" si="0"/>
        <v>100</v>
      </c>
      <c r="I48" s="22" t="str">
        <f>IF(H48&gt;=Assumptions!$B$16,"Low Risk",IF(H48&gt;=Assumptions!$B$17,"Medium Risk","High Risk"))</f>
        <v>Low Risk</v>
      </c>
      <c r="J48" s="44" t="str">
        <f>IF(OR(Inputs!K20&gt;=3,Inputs!D20="Unemployed",Inputs!P20&lt;0),"POLICY DECLINE","Pass")</f>
        <v>Pass</v>
      </c>
      <c r="K48" s="45" t="str">
        <f>IF(J48="POLICY DECLINE","Decline",IF(H48&gt;=Assumptions!$B$17,"Approve",IF(H48&gt;=Assumptions!$B$18,"Review","Decline")))</f>
        <v>Approve</v>
      </c>
    </row>
    <row r="49" spans="1:11" ht="18" customHeight="1" x14ac:dyDescent="0.2">
      <c r="A49" s="46" t="str">
        <f>Inputs!A21</f>
        <v>SA-2025-018</v>
      </c>
      <c r="B49" s="47">
        <f>IF(Inputs!J21&gt;=750,25,IF(Inputs!J21&gt;=700,20,IF(Inputs!J21&gt;=650,13,IF(Inputs!J21&gt;=580,5,0))))</f>
        <v>5</v>
      </c>
      <c r="C49" s="47">
        <f>IF(Inputs!O21&lt;0.3,20,IF(Inputs!O21&lt;0.4,14,IF(Inputs!O21&lt;0.5,7,IF(Inputs!O21&lt;0.6,2,0))))</f>
        <v>20</v>
      </c>
      <c r="D49" s="47">
        <f>IF(Inputs!P21&gt;12000,20,IF(Inputs!P21&gt;=6000,14,IF(Inputs!P21&gt;=2000,7,IF(Inputs!P21&gt;=0,2,0))))</f>
        <v>14</v>
      </c>
      <c r="E49" s="47">
        <f>IF(Inputs!D21="Permanently Employed",15,IF(Inputs!D21="Self-Employed",10,IF(Inputs!D21="Fixed-Term Contract",5,0)))</f>
        <v>10</v>
      </c>
      <c r="F49" s="47">
        <f>IF(Inputs!K21=0,10,IF(Inputs!K21=1,6,IF(Inputs!K21=2,2,0)))</f>
        <v>2</v>
      </c>
      <c r="G49" s="47">
        <f>IF(Inputs!L21&gt;=10,10,IF(Inputs!L21&gt;=5,7,IF(Inputs!L21&gt;=2,4,1)))</f>
        <v>4</v>
      </c>
      <c r="H49" s="48">
        <f t="shared" si="0"/>
        <v>55</v>
      </c>
      <c r="I49" s="22" t="str">
        <f>IF(H49&gt;=Assumptions!$B$16,"Low Risk",IF(H49&gt;=Assumptions!$B$17,"Medium Risk","High Risk"))</f>
        <v>Medium Risk</v>
      </c>
      <c r="J49" s="49" t="str">
        <f>IF(OR(Inputs!K21&gt;=3,Inputs!D21="Unemployed",Inputs!P21&lt;0),"POLICY DECLINE","Pass")</f>
        <v>Pass</v>
      </c>
      <c r="K49" s="50" t="str">
        <f>IF(J49="POLICY DECLINE","Decline",IF(H49&gt;=Assumptions!$B$17,"Approve",IF(H49&gt;=Assumptions!$B$18,"Review","Decline")))</f>
        <v>Approve</v>
      </c>
    </row>
    <row r="50" spans="1:11" ht="18" customHeight="1" x14ac:dyDescent="0.2">
      <c r="A50" s="41" t="str">
        <f>Inputs!A22</f>
        <v>SA-2025-019</v>
      </c>
      <c r="B50" s="42">
        <f>IF(Inputs!J22&gt;=750,25,IF(Inputs!J22&gt;=700,20,IF(Inputs!J22&gt;=650,13,IF(Inputs!J22&gt;=580,5,0))))</f>
        <v>20</v>
      </c>
      <c r="C50" s="42">
        <f>IF(Inputs!O22&lt;0.3,20,IF(Inputs!O22&lt;0.4,14,IF(Inputs!O22&lt;0.5,7,IF(Inputs!O22&lt;0.6,2,0))))</f>
        <v>14</v>
      </c>
      <c r="D50" s="42">
        <f>IF(Inputs!P22&gt;12000,20,IF(Inputs!P22&gt;=6000,14,IF(Inputs!P22&gt;=2000,7,IF(Inputs!P22&gt;=0,2,0))))</f>
        <v>20</v>
      </c>
      <c r="E50" s="42">
        <f>IF(Inputs!D22="Permanently Employed",15,IF(Inputs!D22="Self-Employed",10,IF(Inputs!D22="Fixed-Term Contract",5,0)))</f>
        <v>15</v>
      </c>
      <c r="F50" s="42">
        <f>IF(Inputs!K22=0,10,IF(Inputs!K22=1,6,IF(Inputs!K22=2,2,0)))</f>
        <v>10</v>
      </c>
      <c r="G50" s="42">
        <f>IF(Inputs!L22&gt;=10,10,IF(Inputs!L22&gt;=5,7,IF(Inputs!L22&gt;=2,4,1)))</f>
        <v>10</v>
      </c>
      <c r="H50" s="43">
        <f t="shared" si="0"/>
        <v>89</v>
      </c>
      <c r="I50" s="22" t="str">
        <f>IF(H50&gt;=Assumptions!$B$16,"Low Risk",IF(H50&gt;=Assumptions!$B$17,"Medium Risk","High Risk"))</f>
        <v>Low Risk</v>
      </c>
      <c r="J50" s="44" t="str">
        <f>IF(OR(Inputs!K22&gt;=3,Inputs!D22="Unemployed",Inputs!P22&lt;0),"POLICY DECLINE","Pass")</f>
        <v>Pass</v>
      </c>
      <c r="K50" s="45" t="str">
        <f>IF(J50="POLICY DECLINE","Decline",IF(H50&gt;=Assumptions!$B$17,"Approve",IF(H50&gt;=Assumptions!$B$18,"Review","Decline")))</f>
        <v>Approve</v>
      </c>
    </row>
    <row r="51" spans="1:11" ht="18" customHeight="1" x14ac:dyDescent="0.2">
      <c r="A51" s="46" t="str">
        <f>Inputs!A23</f>
        <v>SA-2025-020</v>
      </c>
      <c r="B51" s="47">
        <f>IF(Inputs!J23&gt;=750,25,IF(Inputs!J23&gt;=700,20,IF(Inputs!J23&gt;=650,13,IF(Inputs!J23&gt;=580,5,0))))</f>
        <v>0</v>
      </c>
      <c r="C51" s="47">
        <f>IF(Inputs!O23&lt;0.3,20,IF(Inputs!O23&lt;0.4,14,IF(Inputs!O23&lt;0.5,7,IF(Inputs!O23&lt;0.6,2,0))))</f>
        <v>20</v>
      </c>
      <c r="D51" s="47">
        <f>IF(Inputs!P23&gt;12000,20,IF(Inputs!P23&gt;=6000,14,IF(Inputs!P23&gt;=2000,7,IF(Inputs!P23&gt;=0,2,0))))</f>
        <v>7</v>
      </c>
      <c r="E51" s="47">
        <f>IF(Inputs!D23="Permanently Employed",15,IF(Inputs!D23="Self-Employed",10,IF(Inputs!D23="Fixed-Term Contract",5,0)))</f>
        <v>5</v>
      </c>
      <c r="F51" s="47">
        <f>IF(Inputs!K23=0,10,IF(Inputs!K23=1,6,IF(Inputs!K23=2,2,0)))</f>
        <v>0</v>
      </c>
      <c r="G51" s="47">
        <f>IF(Inputs!L23&gt;=10,10,IF(Inputs!L23&gt;=5,7,IF(Inputs!L23&gt;=2,4,1)))</f>
        <v>1</v>
      </c>
      <c r="H51" s="48">
        <f t="shared" si="0"/>
        <v>33</v>
      </c>
      <c r="I51" s="22" t="str">
        <f>IF(H51&gt;=Assumptions!$B$16,"Low Risk",IF(H51&gt;=Assumptions!$B$17,"Medium Risk","High Risk"))</f>
        <v>High Risk</v>
      </c>
      <c r="J51" s="49" t="str">
        <f>IF(OR(Inputs!K23&gt;=3,Inputs!D23="Unemployed",Inputs!P23&lt;0),"POLICY DECLINE","Pass")</f>
        <v>POLICY DECLINE</v>
      </c>
      <c r="K51" s="50" t="str">
        <f>IF(J51="POLICY DECLINE","Decline",IF(H51&gt;=Assumptions!$B$17,"Approve",IF(H51&gt;=Assumptions!$B$18,"Review","Decline")))</f>
        <v>Decline</v>
      </c>
    </row>
    <row r="52" spans="1:11" ht="18" customHeight="1" x14ac:dyDescent="0.2">
      <c r="A52" s="41" t="str">
        <f>Inputs!A24</f>
        <v>SA-2025-021</v>
      </c>
      <c r="B52" s="42">
        <f>IF(Inputs!J24&gt;=750,25,IF(Inputs!J24&gt;=700,20,IF(Inputs!J24&gt;=650,13,IF(Inputs!J24&gt;=580,5,0))))</f>
        <v>13</v>
      </c>
      <c r="C52" s="42">
        <f>IF(Inputs!O24&lt;0.3,20,IF(Inputs!O24&lt;0.4,14,IF(Inputs!O24&lt;0.5,7,IF(Inputs!O24&lt;0.6,2,0))))</f>
        <v>20</v>
      </c>
      <c r="D52" s="42">
        <f>IF(Inputs!P24&gt;12000,20,IF(Inputs!P24&gt;=6000,14,IF(Inputs!P24&gt;=2000,7,IF(Inputs!P24&gt;=0,2,0))))</f>
        <v>20</v>
      </c>
      <c r="E52" s="42">
        <f>IF(Inputs!D24="Permanently Employed",15,IF(Inputs!D24="Self-Employed",10,IF(Inputs!D24="Fixed-Term Contract",5,0)))</f>
        <v>15</v>
      </c>
      <c r="F52" s="42">
        <f>IF(Inputs!K24=0,10,IF(Inputs!K24=1,6,IF(Inputs!K24=2,2,0)))</f>
        <v>6</v>
      </c>
      <c r="G52" s="42">
        <f>IF(Inputs!L24&gt;=10,10,IF(Inputs!L24&gt;=5,7,IF(Inputs!L24&gt;=2,4,1)))</f>
        <v>7</v>
      </c>
      <c r="H52" s="43">
        <f t="shared" si="0"/>
        <v>81</v>
      </c>
      <c r="I52" s="22" t="str">
        <f>IF(H52&gt;=Assumptions!$B$16,"Low Risk",IF(H52&gt;=Assumptions!$B$17,"Medium Risk","High Risk"))</f>
        <v>Low Risk</v>
      </c>
      <c r="J52" s="44" t="str">
        <f>IF(OR(Inputs!K24&gt;=3,Inputs!D24="Unemployed",Inputs!P24&lt;0),"POLICY DECLINE","Pass")</f>
        <v>Pass</v>
      </c>
      <c r="K52" s="45" t="str">
        <f>IF(J52="POLICY DECLINE","Decline",IF(H52&gt;=Assumptions!$B$17,"Approve",IF(H52&gt;=Assumptions!$B$18,"Review","Decline")))</f>
        <v>Approve</v>
      </c>
    </row>
    <row r="53" spans="1:11" ht="18" customHeight="1" x14ac:dyDescent="0.2">
      <c r="A53" s="46" t="str">
        <f>Inputs!A25</f>
        <v>SA-2025-022</v>
      </c>
      <c r="B53" s="47">
        <f>IF(Inputs!J25&gt;=750,25,IF(Inputs!J25&gt;=700,20,IF(Inputs!J25&gt;=650,13,IF(Inputs!J25&gt;=580,5,0))))</f>
        <v>20</v>
      </c>
      <c r="C53" s="47">
        <f>IF(Inputs!O25&lt;0.3,20,IF(Inputs!O25&lt;0.4,14,IF(Inputs!O25&lt;0.5,7,IF(Inputs!O25&lt;0.6,2,0))))</f>
        <v>20</v>
      </c>
      <c r="D53" s="47">
        <f>IF(Inputs!P25&gt;12000,20,IF(Inputs!P25&gt;=6000,14,IF(Inputs!P25&gt;=2000,7,IF(Inputs!P25&gt;=0,2,0))))</f>
        <v>20</v>
      </c>
      <c r="E53" s="47">
        <f>IF(Inputs!D25="Permanently Employed",15,IF(Inputs!D25="Self-Employed",10,IF(Inputs!D25="Fixed-Term Contract",5,0)))</f>
        <v>10</v>
      </c>
      <c r="F53" s="47">
        <f>IF(Inputs!K25=0,10,IF(Inputs!K25=1,6,IF(Inputs!K25=2,2,0)))</f>
        <v>10</v>
      </c>
      <c r="G53" s="47">
        <f>IF(Inputs!L25&gt;=10,10,IF(Inputs!L25&gt;=5,7,IF(Inputs!L25&gt;=2,4,1)))</f>
        <v>10</v>
      </c>
      <c r="H53" s="48">
        <f t="shared" si="0"/>
        <v>90</v>
      </c>
      <c r="I53" s="22" t="str">
        <f>IF(H53&gt;=Assumptions!$B$16,"Low Risk",IF(H53&gt;=Assumptions!$B$17,"Medium Risk","High Risk"))</f>
        <v>Low Risk</v>
      </c>
      <c r="J53" s="49" t="str">
        <f>IF(OR(Inputs!K25&gt;=3,Inputs!D25="Unemployed",Inputs!P25&lt;0),"POLICY DECLINE","Pass")</f>
        <v>Pass</v>
      </c>
      <c r="K53" s="50" t="str">
        <f>IF(J53="POLICY DECLINE","Decline",IF(H53&gt;=Assumptions!$B$17,"Approve",IF(H53&gt;=Assumptions!$B$18,"Review","Decline")))</f>
        <v>Approve</v>
      </c>
    </row>
    <row r="54" spans="1:11" ht="18" customHeight="1" x14ac:dyDescent="0.2">
      <c r="A54" s="41" t="str">
        <f>Inputs!A26</f>
        <v>SA-2025-023</v>
      </c>
      <c r="B54" s="42">
        <f>IF(Inputs!J26&gt;=750,25,IF(Inputs!J26&gt;=700,20,IF(Inputs!J26&gt;=650,13,IF(Inputs!J26&gt;=580,5,0))))</f>
        <v>13</v>
      </c>
      <c r="C54" s="42">
        <f>IF(Inputs!O26&lt;0.3,20,IF(Inputs!O26&lt;0.4,14,IF(Inputs!O26&lt;0.5,7,IF(Inputs!O26&lt;0.6,2,0))))</f>
        <v>20</v>
      </c>
      <c r="D54" s="42">
        <f>IF(Inputs!P26&gt;12000,20,IF(Inputs!P26&gt;=6000,14,IF(Inputs!P26&gt;=2000,7,IF(Inputs!P26&gt;=0,2,0))))</f>
        <v>14</v>
      </c>
      <c r="E54" s="42">
        <f>IF(Inputs!D26="Permanently Employed",15,IF(Inputs!D26="Self-Employed",10,IF(Inputs!D26="Fixed-Term Contract",5,0)))</f>
        <v>15</v>
      </c>
      <c r="F54" s="42">
        <f>IF(Inputs!K26=0,10,IF(Inputs!K26=1,6,IF(Inputs!K26=2,2,0)))</f>
        <v>10</v>
      </c>
      <c r="G54" s="42">
        <f>IF(Inputs!L26&gt;=10,10,IF(Inputs!L26&gt;=5,7,IF(Inputs!L26&gt;=2,4,1)))</f>
        <v>4</v>
      </c>
      <c r="H54" s="43">
        <f t="shared" si="0"/>
        <v>76</v>
      </c>
      <c r="I54" s="22" t="str">
        <f>IF(H54&gt;=Assumptions!$B$16,"Low Risk",IF(H54&gt;=Assumptions!$B$17,"Medium Risk","High Risk"))</f>
        <v>Low Risk</v>
      </c>
      <c r="J54" s="44" t="str">
        <f>IF(OR(Inputs!K26&gt;=3,Inputs!D26="Unemployed",Inputs!P26&lt;0),"POLICY DECLINE","Pass")</f>
        <v>Pass</v>
      </c>
      <c r="K54" s="45" t="str">
        <f>IF(J54="POLICY DECLINE","Decline",IF(H54&gt;=Assumptions!$B$17,"Approve",IF(H54&gt;=Assumptions!$B$18,"Review","Decline")))</f>
        <v>Approve</v>
      </c>
    </row>
    <row r="55" spans="1:11" ht="18" customHeight="1" x14ac:dyDescent="0.2">
      <c r="A55" s="46" t="str">
        <f>Inputs!A27</f>
        <v>SA-2025-024</v>
      </c>
      <c r="B55" s="47">
        <f>IF(Inputs!J27&gt;=750,25,IF(Inputs!J27&gt;=700,20,IF(Inputs!J27&gt;=650,13,IF(Inputs!J27&gt;=580,5,0))))</f>
        <v>5</v>
      </c>
      <c r="C55" s="47">
        <f>IF(Inputs!O27&lt;0.3,20,IF(Inputs!O27&lt;0.4,14,IF(Inputs!O27&lt;0.5,7,IF(Inputs!O27&lt;0.6,2,0))))</f>
        <v>14</v>
      </c>
      <c r="D55" s="47">
        <f>IF(Inputs!P27&gt;12000,20,IF(Inputs!P27&gt;=6000,14,IF(Inputs!P27&gt;=2000,7,IF(Inputs!P27&gt;=0,2,0))))</f>
        <v>7</v>
      </c>
      <c r="E55" s="47">
        <f>IF(Inputs!D27="Permanently Employed",15,IF(Inputs!D27="Self-Employed",10,IF(Inputs!D27="Fixed-Term Contract",5,0)))</f>
        <v>5</v>
      </c>
      <c r="F55" s="47">
        <f>IF(Inputs!K27=0,10,IF(Inputs!K27=1,6,IF(Inputs!K27=2,2,0)))</f>
        <v>2</v>
      </c>
      <c r="G55" s="47">
        <f>IF(Inputs!L27&gt;=10,10,IF(Inputs!L27&gt;=5,7,IF(Inputs!L27&gt;=2,4,1)))</f>
        <v>4</v>
      </c>
      <c r="H55" s="48">
        <f t="shared" si="0"/>
        <v>37</v>
      </c>
      <c r="I55" s="22" t="str">
        <f>IF(H55&gt;=Assumptions!$B$16,"Low Risk",IF(H55&gt;=Assumptions!$B$17,"Medium Risk","High Risk"))</f>
        <v>High Risk</v>
      </c>
      <c r="J55" s="49" t="str">
        <f>IF(OR(Inputs!K27&gt;=3,Inputs!D27="Unemployed",Inputs!P27&lt;0),"POLICY DECLINE","Pass")</f>
        <v>Pass</v>
      </c>
      <c r="K55" s="50" t="str">
        <f>IF(J55="POLICY DECLINE","Decline",IF(H55&gt;=Assumptions!$B$17,"Approve",IF(H55&gt;=Assumptions!$B$18,"Review","Decline")))</f>
        <v>Decline</v>
      </c>
    </row>
    <row r="56" spans="1:11" ht="18" customHeight="1" x14ac:dyDescent="0.2">
      <c r="A56" s="41" t="str">
        <f>Inputs!A28</f>
        <v>SA-2025-025</v>
      </c>
      <c r="B56" s="42">
        <f>IF(Inputs!J28&gt;=750,25,IF(Inputs!J28&gt;=700,20,IF(Inputs!J28&gt;=650,13,IF(Inputs!J28&gt;=580,5,0))))</f>
        <v>20</v>
      </c>
      <c r="C56" s="42">
        <f>IF(Inputs!O28&lt;0.3,20,IF(Inputs!O28&lt;0.4,14,IF(Inputs!O28&lt;0.5,7,IF(Inputs!O28&lt;0.6,2,0))))</f>
        <v>20</v>
      </c>
      <c r="D56" s="42">
        <f>IF(Inputs!P28&gt;12000,20,IF(Inputs!P28&gt;=6000,14,IF(Inputs!P28&gt;=2000,7,IF(Inputs!P28&gt;=0,2,0))))</f>
        <v>20</v>
      </c>
      <c r="E56" s="42">
        <f>IF(Inputs!D28="Permanently Employed",15,IF(Inputs!D28="Self-Employed",10,IF(Inputs!D28="Fixed-Term Contract",5,0)))</f>
        <v>15</v>
      </c>
      <c r="F56" s="42">
        <f>IF(Inputs!K28=0,10,IF(Inputs!K28=1,6,IF(Inputs!K28=2,2,0)))</f>
        <v>10</v>
      </c>
      <c r="G56" s="42">
        <f>IF(Inputs!L28&gt;=10,10,IF(Inputs!L28&gt;=5,7,IF(Inputs!L28&gt;=2,4,1)))</f>
        <v>10</v>
      </c>
      <c r="H56" s="43">
        <f t="shared" si="0"/>
        <v>95</v>
      </c>
      <c r="I56" s="22" t="str">
        <f>IF(H56&gt;=Assumptions!$B$16,"Low Risk",IF(H56&gt;=Assumptions!$B$17,"Medium Risk","High Risk"))</f>
        <v>Low Risk</v>
      </c>
      <c r="J56" s="44" t="str">
        <f>IF(OR(Inputs!K28&gt;=3,Inputs!D28="Unemployed",Inputs!P28&lt;0),"POLICY DECLINE","Pass")</f>
        <v>Pass</v>
      </c>
      <c r="K56" s="45" t="str">
        <f>IF(J56="POLICY DECLINE","Decline",IF(H56&gt;=Assumptions!$B$17,"Approve",IF(H56&gt;=Assumptions!$B$18,"Review","Decline")))</f>
        <v>Approve</v>
      </c>
    </row>
    <row r="57" spans="1:11" ht="18" customHeight="1" x14ac:dyDescent="0.2">
      <c r="A57" s="46" t="str">
        <f>Inputs!A29</f>
        <v>SA-2025-026</v>
      </c>
      <c r="B57" s="47">
        <f>IF(Inputs!J29&gt;=750,25,IF(Inputs!J29&gt;=700,20,IF(Inputs!J29&gt;=650,13,IF(Inputs!J29&gt;=580,5,0))))</f>
        <v>5</v>
      </c>
      <c r="C57" s="47">
        <f>IF(Inputs!O29&lt;0.3,20,IF(Inputs!O29&lt;0.4,14,IF(Inputs!O29&lt;0.5,7,IF(Inputs!O29&lt;0.6,2,0))))</f>
        <v>20</v>
      </c>
      <c r="D57" s="47">
        <f>IF(Inputs!P29&gt;12000,20,IF(Inputs!P29&gt;=6000,14,IF(Inputs!P29&gt;=2000,7,IF(Inputs!P29&gt;=0,2,0))))</f>
        <v>14</v>
      </c>
      <c r="E57" s="47">
        <f>IF(Inputs!D29="Permanently Employed",15,IF(Inputs!D29="Self-Employed",10,IF(Inputs!D29="Fixed-Term Contract",5,0)))</f>
        <v>15</v>
      </c>
      <c r="F57" s="47">
        <f>IF(Inputs!K29=0,10,IF(Inputs!K29=1,6,IF(Inputs!K29=2,2,0)))</f>
        <v>6</v>
      </c>
      <c r="G57" s="47">
        <f>IF(Inputs!L29&gt;=10,10,IF(Inputs!L29&gt;=5,7,IF(Inputs!L29&gt;=2,4,1)))</f>
        <v>4</v>
      </c>
      <c r="H57" s="48">
        <f t="shared" si="0"/>
        <v>64</v>
      </c>
      <c r="I57" s="22" t="str">
        <f>IF(H57&gt;=Assumptions!$B$16,"Low Risk",IF(H57&gt;=Assumptions!$B$17,"Medium Risk","High Risk"))</f>
        <v>Medium Risk</v>
      </c>
      <c r="J57" s="49" t="str">
        <f>IF(OR(Inputs!K29&gt;=3,Inputs!D29="Unemployed",Inputs!P29&lt;0),"POLICY DECLINE","Pass")</f>
        <v>Pass</v>
      </c>
      <c r="K57" s="50" t="str">
        <f>IF(J57="POLICY DECLINE","Decline",IF(H57&gt;=Assumptions!$B$17,"Approve",IF(H57&gt;=Assumptions!$B$18,"Review","Decline")))</f>
        <v>Approve</v>
      </c>
    </row>
    <row r="58" spans="1:11" ht="18" customHeight="1" x14ac:dyDescent="0.2">
      <c r="A58" s="41" t="str">
        <f>Inputs!A30</f>
        <v>SA-2025-027</v>
      </c>
      <c r="B58" s="42">
        <f>IF(Inputs!J30&gt;=750,25,IF(Inputs!J30&gt;=700,20,IF(Inputs!J30&gt;=650,13,IF(Inputs!J30&gt;=580,5,0))))</f>
        <v>25</v>
      </c>
      <c r="C58" s="42">
        <f>IF(Inputs!O30&lt;0.3,20,IF(Inputs!O30&lt;0.4,14,IF(Inputs!O30&lt;0.5,7,IF(Inputs!O30&lt;0.6,2,0))))</f>
        <v>20</v>
      </c>
      <c r="D58" s="42">
        <f>IF(Inputs!P30&gt;12000,20,IF(Inputs!P30&gt;=6000,14,IF(Inputs!P30&gt;=2000,7,IF(Inputs!P30&gt;=0,2,0))))</f>
        <v>20</v>
      </c>
      <c r="E58" s="42">
        <f>IF(Inputs!D30="Permanently Employed",15,IF(Inputs!D30="Self-Employed",10,IF(Inputs!D30="Fixed-Term Contract",5,0)))</f>
        <v>10</v>
      </c>
      <c r="F58" s="42">
        <f>IF(Inputs!K30=0,10,IF(Inputs!K30=1,6,IF(Inputs!K30=2,2,0)))</f>
        <v>10</v>
      </c>
      <c r="G58" s="42">
        <f>IF(Inputs!L30&gt;=10,10,IF(Inputs!L30&gt;=5,7,IF(Inputs!L30&gt;=2,4,1)))</f>
        <v>10</v>
      </c>
      <c r="H58" s="43">
        <f t="shared" si="0"/>
        <v>95</v>
      </c>
      <c r="I58" s="22" t="str">
        <f>IF(H58&gt;=Assumptions!$B$16,"Low Risk",IF(H58&gt;=Assumptions!$B$17,"Medium Risk","High Risk"))</f>
        <v>Low Risk</v>
      </c>
      <c r="J58" s="44" t="str">
        <f>IF(OR(Inputs!K30&gt;=3,Inputs!D30="Unemployed",Inputs!P30&lt;0),"POLICY DECLINE","Pass")</f>
        <v>Pass</v>
      </c>
      <c r="K58" s="45" t="str">
        <f>IF(J58="POLICY DECLINE","Decline",IF(H58&gt;=Assumptions!$B$17,"Approve",IF(H58&gt;=Assumptions!$B$18,"Review","Decline")))</f>
        <v>Approve</v>
      </c>
    </row>
    <row r="59" spans="1:11" ht="18" customHeight="1" x14ac:dyDescent="0.2">
      <c r="A59" s="46" t="str">
        <f>Inputs!A31</f>
        <v>SA-2025-028</v>
      </c>
      <c r="B59" s="47">
        <f>IF(Inputs!J31&gt;=750,25,IF(Inputs!J31&gt;=700,20,IF(Inputs!J31&gt;=650,13,IF(Inputs!J31&gt;=580,5,0))))</f>
        <v>0</v>
      </c>
      <c r="C59" s="47">
        <f>IF(Inputs!O31&lt;0.3,20,IF(Inputs!O31&lt;0.4,14,IF(Inputs!O31&lt;0.5,7,IF(Inputs!O31&lt;0.6,2,0))))</f>
        <v>20</v>
      </c>
      <c r="D59" s="47">
        <f>IF(Inputs!P31&gt;12000,20,IF(Inputs!P31&gt;=6000,14,IF(Inputs!P31&gt;=2000,7,IF(Inputs!P31&gt;=0,2,0))))</f>
        <v>0</v>
      </c>
      <c r="E59" s="47">
        <f>IF(Inputs!D31="Permanently Employed",15,IF(Inputs!D31="Self-Employed",10,IF(Inputs!D31="Fixed-Term Contract",5,0)))</f>
        <v>0</v>
      </c>
      <c r="F59" s="47">
        <f>IF(Inputs!K31=0,10,IF(Inputs!K31=1,6,IF(Inputs!K31=2,2,0)))</f>
        <v>0</v>
      </c>
      <c r="G59" s="47">
        <f>IF(Inputs!L31&gt;=10,10,IF(Inputs!L31&gt;=5,7,IF(Inputs!L31&gt;=2,4,1)))</f>
        <v>1</v>
      </c>
      <c r="H59" s="48">
        <f t="shared" si="0"/>
        <v>21</v>
      </c>
      <c r="I59" s="22" t="str">
        <f>IF(H59&gt;=Assumptions!$B$16,"Low Risk",IF(H59&gt;=Assumptions!$B$17,"Medium Risk","High Risk"))</f>
        <v>High Risk</v>
      </c>
      <c r="J59" s="49" t="str">
        <f>IF(OR(Inputs!K31&gt;=3,Inputs!D31="Unemployed",Inputs!P31&lt;0),"POLICY DECLINE","Pass")</f>
        <v>POLICY DECLINE</v>
      </c>
      <c r="K59" s="50" t="str">
        <f>IF(J59="POLICY DECLINE","Decline",IF(H59&gt;=Assumptions!$B$17,"Approve",IF(H59&gt;=Assumptions!$B$18,"Review","Decline")))</f>
        <v>Decline</v>
      </c>
    </row>
    <row r="60" spans="1:11" ht="18" customHeight="1" x14ac:dyDescent="0.2">
      <c r="A60" s="41" t="str">
        <f>Inputs!A32</f>
        <v>SA-2025-029</v>
      </c>
      <c r="B60" s="42">
        <f>IF(Inputs!J32&gt;=750,25,IF(Inputs!J32&gt;=700,20,IF(Inputs!J32&gt;=650,13,IF(Inputs!J32&gt;=580,5,0))))</f>
        <v>20</v>
      </c>
      <c r="C60" s="42">
        <f>IF(Inputs!O32&lt;0.3,20,IF(Inputs!O32&lt;0.4,14,IF(Inputs!O32&lt;0.5,7,IF(Inputs!O32&lt;0.6,2,0))))</f>
        <v>20</v>
      </c>
      <c r="D60" s="42">
        <f>IF(Inputs!P32&gt;12000,20,IF(Inputs!P32&gt;=6000,14,IF(Inputs!P32&gt;=2000,7,IF(Inputs!P32&gt;=0,2,0))))</f>
        <v>20</v>
      </c>
      <c r="E60" s="42">
        <f>IF(Inputs!D32="Permanently Employed",15,IF(Inputs!D32="Self-Employed",10,IF(Inputs!D32="Fixed-Term Contract",5,0)))</f>
        <v>15</v>
      </c>
      <c r="F60" s="42">
        <f>IF(Inputs!K32=0,10,IF(Inputs!K32=1,6,IF(Inputs!K32=2,2,0)))</f>
        <v>10</v>
      </c>
      <c r="G60" s="42">
        <f>IF(Inputs!L32&gt;=10,10,IF(Inputs!L32&gt;=5,7,IF(Inputs!L32&gt;=2,4,1)))</f>
        <v>10</v>
      </c>
      <c r="H60" s="43">
        <f t="shared" si="0"/>
        <v>95</v>
      </c>
      <c r="I60" s="22" t="str">
        <f>IF(H60&gt;=Assumptions!$B$16,"Low Risk",IF(H60&gt;=Assumptions!$B$17,"Medium Risk","High Risk"))</f>
        <v>Low Risk</v>
      </c>
      <c r="J60" s="44" t="str">
        <f>IF(OR(Inputs!K32&gt;=3,Inputs!D32="Unemployed",Inputs!P32&lt;0),"POLICY DECLINE","Pass")</f>
        <v>Pass</v>
      </c>
      <c r="K60" s="45" t="str">
        <f>IF(J60="POLICY DECLINE","Decline",IF(H60&gt;=Assumptions!$B$17,"Approve",IF(H60&gt;=Assumptions!$B$18,"Review","Decline")))</f>
        <v>Approve</v>
      </c>
    </row>
    <row r="61" spans="1:11" ht="18" customHeight="1" x14ac:dyDescent="0.2">
      <c r="A61" s="46" t="str">
        <f>Inputs!A33</f>
        <v>SA-2025-030</v>
      </c>
      <c r="B61" s="47">
        <f>IF(Inputs!J33&gt;=750,25,IF(Inputs!J33&gt;=700,20,IF(Inputs!J33&gt;=650,13,IF(Inputs!J33&gt;=580,5,0))))</f>
        <v>0</v>
      </c>
      <c r="C61" s="47">
        <f>IF(Inputs!O33&lt;0.3,20,IF(Inputs!O33&lt;0.4,14,IF(Inputs!O33&lt;0.5,7,IF(Inputs!O33&lt;0.6,2,0))))</f>
        <v>20</v>
      </c>
      <c r="D61" s="47">
        <f>IF(Inputs!P33&gt;12000,20,IF(Inputs!P33&gt;=6000,14,IF(Inputs!P33&gt;=2000,7,IF(Inputs!P33&gt;=0,2,0))))</f>
        <v>7</v>
      </c>
      <c r="E61" s="47">
        <f>IF(Inputs!D33="Permanently Employed",15,IF(Inputs!D33="Self-Employed",10,IF(Inputs!D33="Fixed-Term Contract",5,0)))</f>
        <v>5</v>
      </c>
      <c r="F61" s="47">
        <f>IF(Inputs!K33=0,10,IF(Inputs!K33=1,6,IF(Inputs!K33=2,2,0)))</f>
        <v>2</v>
      </c>
      <c r="G61" s="47">
        <f>IF(Inputs!L33&gt;=10,10,IF(Inputs!L33&gt;=5,7,IF(Inputs!L33&gt;=2,4,1)))</f>
        <v>1</v>
      </c>
      <c r="H61" s="48">
        <f t="shared" si="0"/>
        <v>35</v>
      </c>
      <c r="I61" s="22" t="str">
        <f>IF(H61&gt;=Assumptions!$B$16,"Low Risk",IF(H61&gt;=Assumptions!$B$17,"Medium Risk","High Risk"))</f>
        <v>High Risk</v>
      </c>
      <c r="J61" s="49" t="str">
        <f>IF(OR(Inputs!K33&gt;=3,Inputs!D33="Unemployed",Inputs!P33&lt;0),"POLICY DECLINE","Pass")</f>
        <v>Pass</v>
      </c>
      <c r="K61" s="50" t="str">
        <f>IF(J61="POLICY DECLINE","Decline",IF(H61&gt;=Assumptions!$B$17,"Approve",IF(H61&gt;=Assumptions!$B$18,"Review","Decline")))</f>
        <v>Decline</v>
      </c>
    </row>
    <row r="63" spans="1:11" ht="19.5" customHeight="1" x14ac:dyDescent="0.2">
      <c r="A63" s="3" t="s">
        <v>184</v>
      </c>
      <c r="B63" s="3"/>
      <c r="C63" s="3"/>
      <c r="D63" s="3"/>
      <c r="E63" s="3"/>
      <c r="F63" s="3"/>
      <c r="G63" s="3"/>
      <c r="H63" s="3"/>
      <c r="I63" s="3"/>
      <c r="J63" s="3"/>
      <c r="K63" s="3"/>
    </row>
  </sheetData>
  <mergeCells count="16">
    <mergeCell ref="A23:D23"/>
    <mergeCell ref="F23:I23"/>
    <mergeCell ref="K23:N23"/>
    <mergeCell ref="A30:N30"/>
    <mergeCell ref="A63:K63"/>
    <mergeCell ref="A11:D11"/>
    <mergeCell ref="F11:I11"/>
    <mergeCell ref="K11:N11"/>
    <mergeCell ref="A17:D17"/>
    <mergeCell ref="F17:I17"/>
    <mergeCell ref="K17:N17"/>
    <mergeCell ref="A1:M1"/>
    <mergeCell ref="A2:N2"/>
    <mergeCell ref="A4:D4"/>
    <mergeCell ref="F4:I4"/>
    <mergeCell ref="K4:N4"/>
  </mergeCells>
  <conditionalFormatting sqref="I32:I61">
    <cfRule type="cellIs" dxfId="2" priority="6" operator="equal">
      <formula>"Low Risk"</formula>
    </cfRule>
    <cfRule type="cellIs" dxfId="1" priority="7" operator="equal">
      <formula>"Medium Risk"</formula>
    </cfRule>
    <cfRule type="cellIs" dxfId="0" priority="8" operator="equal">
      <formula>"High Risk"</formula>
    </cfRule>
  </conditionalFormatting>
  <conditionalFormatting sqref="J32:J61">
    <cfRule type="cellIs" dxfId="12" priority="5" operator="equal">
      <formula>"POLICY DECLINE"</formula>
    </cfRule>
  </conditionalFormatting>
  <conditionalFormatting sqref="K32:K61">
    <cfRule type="cellIs" dxfId="11" priority="2" operator="equal">
      <formula>"Approve"</formula>
    </cfRule>
    <cfRule type="cellIs" dxfId="10" priority="3" operator="equal">
      <formula>"Review"</formula>
    </cfRule>
    <cfRule type="cellIs" dxfId="9" priority="4" operator="equal">
      <formula>"Decline"</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449"/>
  </sheetPr>
  <dimension ref="A1:J33"/>
  <sheetViews>
    <sheetView showGridLines="0" zoomScaleNormal="100" workbookViewId="0">
      <pane ySplit="2" topLeftCell="A3" activePane="bottomLeft" state="frozen"/>
      <selection pane="bottomLeft" activeCell="E10" sqref="E10"/>
    </sheetView>
  </sheetViews>
  <sheetFormatPr baseColWidth="10" defaultColWidth="8.6640625" defaultRowHeight="15" x14ac:dyDescent="0.2"/>
  <cols>
    <col min="1" max="1" width="14" customWidth="1"/>
    <col min="2" max="2" width="13" customWidth="1"/>
    <col min="3" max="3" width="14" customWidth="1"/>
    <col min="4" max="4" width="15" customWidth="1"/>
    <col min="5" max="5" width="16" customWidth="1"/>
    <col min="6" max="6" width="13" customWidth="1"/>
    <col min="7" max="7" width="15" customWidth="1"/>
    <col min="8" max="8" width="16" customWidth="1"/>
    <col min="9" max="10" width="15" customWidth="1"/>
  </cols>
  <sheetData>
    <row r="1" spans="1:10" ht="27.75" customHeight="1" x14ac:dyDescent="0.2">
      <c r="A1" s="8" t="s">
        <v>185</v>
      </c>
      <c r="B1" s="8"/>
      <c r="C1" s="8"/>
      <c r="D1" s="8"/>
      <c r="E1" s="8"/>
      <c r="F1" s="8"/>
      <c r="G1" s="8"/>
      <c r="H1" s="8"/>
      <c r="I1" s="8"/>
      <c r="J1" s="8"/>
    </row>
    <row r="2" spans="1:10" ht="18" customHeight="1" x14ac:dyDescent="0.2">
      <c r="A2" s="12" t="s">
        <v>186</v>
      </c>
      <c r="B2" s="12"/>
      <c r="C2" s="12"/>
      <c r="D2" s="12"/>
      <c r="E2" s="11" t="s">
        <v>187</v>
      </c>
      <c r="F2" s="11"/>
      <c r="G2" s="11"/>
      <c r="H2" s="11"/>
      <c r="I2" s="11"/>
      <c r="J2" s="11"/>
    </row>
    <row r="3" spans="1:10" ht="33.75" customHeight="1" x14ac:dyDescent="0.2">
      <c r="A3" s="17" t="s">
        <v>173</v>
      </c>
      <c r="B3" s="17" t="s">
        <v>188</v>
      </c>
      <c r="C3" s="17" t="s">
        <v>181</v>
      </c>
      <c r="D3" s="17" t="s">
        <v>183</v>
      </c>
      <c r="E3" s="18" t="s">
        <v>189</v>
      </c>
      <c r="F3" s="18" t="s">
        <v>190</v>
      </c>
      <c r="G3" s="18" t="s">
        <v>191</v>
      </c>
      <c r="H3" s="18" t="s">
        <v>192</v>
      </c>
      <c r="I3" s="18" t="s">
        <v>193</v>
      </c>
      <c r="J3" s="18" t="s">
        <v>194</v>
      </c>
    </row>
    <row r="4" spans="1:10" ht="18" customHeight="1" x14ac:dyDescent="0.2">
      <c r="A4" s="41" t="str">
        <f>'Scorecard Logic'!A32</f>
        <v>SA-2025-001</v>
      </c>
      <c r="B4" s="51">
        <f>'Scorecard Logic'!H32</f>
        <v>92</v>
      </c>
      <c r="C4" s="52" t="str">
        <f>'Scorecard Logic'!I32</f>
        <v>Low Risk</v>
      </c>
      <c r="D4" s="53" t="str">
        <f>'Scorecard Logic'!K32</f>
        <v>Approve</v>
      </c>
      <c r="E4" s="44" t="str">
        <f>IF(Inputs!J4&lt;580,"⚠ Low CS","")</f>
        <v/>
      </c>
      <c r="F4" s="44" t="str">
        <f>IF(Inputs!O4&gt;=0.5,"⚠ DTI {}"&amp;TEXT(Inputs!O4,"0%"),"")</f>
        <v/>
      </c>
      <c r="G4" s="44" t="str">
        <f>IF(Inputs!P4&lt;2000,"⚠ Surplus R"&amp;TEXT(Inputs!P4,"#,##0"),"")</f>
        <v/>
      </c>
      <c r="H4" s="44" t="str">
        <f>IF(Inputs!K4&gt;=2,"⚠ "&amp;Inputs!K4&amp;" missed","")</f>
        <v/>
      </c>
      <c r="I4" s="44" t="str">
        <f>IF(Inputs!L4&lt;2,"⚠ "&amp;Inputs!L4&amp;" yr(s)","")</f>
        <v/>
      </c>
      <c r="J4" s="54" t="str">
        <f>IF('Scorecard Logic'!J32="POLICY DECLINE","⚠ Policy Override","")</f>
        <v/>
      </c>
    </row>
    <row r="5" spans="1:10" ht="18" customHeight="1" x14ac:dyDescent="0.2">
      <c r="A5" s="46" t="str">
        <f>'Scorecard Logic'!A33</f>
        <v>SA-2025-002</v>
      </c>
      <c r="B5" s="55">
        <f>'Scorecard Logic'!H33</f>
        <v>70</v>
      </c>
      <c r="C5" s="56" t="str">
        <f>'Scorecard Logic'!I33</f>
        <v>Low Risk</v>
      </c>
      <c r="D5" s="57" t="str">
        <f>'Scorecard Logic'!K33</f>
        <v>Approve</v>
      </c>
      <c r="E5" s="49" t="str">
        <f>IF(Inputs!J5&lt;580,"⚠ Low CS","")</f>
        <v/>
      </c>
      <c r="F5" s="49" t="str">
        <f>IF(Inputs!O5&gt;=0.5,"⚠ DTI {}"&amp;TEXT(Inputs!O5,"0%"),"")</f>
        <v/>
      </c>
      <c r="G5" s="49" t="str">
        <f>IF(Inputs!P5&lt;2000,"⚠ Surplus R"&amp;TEXT(Inputs!P5,"#,##0"),"")</f>
        <v/>
      </c>
      <c r="H5" s="49" t="str">
        <f>IF(Inputs!K5&gt;=2,"⚠ "&amp;Inputs!K5&amp;" missed","")</f>
        <v/>
      </c>
      <c r="I5" s="49" t="str">
        <f>IF(Inputs!L5&lt;2,"⚠ "&amp;Inputs!L5&amp;" yr(s)","")</f>
        <v/>
      </c>
      <c r="J5" s="58" t="str">
        <f>IF('Scorecard Logic'!J33="POLICY DECLINE","⚠ Policy Override","")</f>
        <v/>
      </c>
    </row>
    <row r="6" spans="1:10" ht="18" customHeight="1" x14ac:dyDescent="0.2">
      <c r="A6" s="41" t="str">
        <f>'Scorecard Logic'!A34</f>
        <v>SA-2025-003</v>
      </c>
      <c r="B6" s="51">
        <f>'Scorecard Logic'!H34</f>
        <v>83</v>
      </c>
      <c r="C6" s="52" t="str">
        <f>'Scorecard Logic'!I34</f>
        <v>Low Risk</v>
      </c>
      <c r="D6" s="53" t="str">
        <f>'Scorecard Logic'!K34</f>
        <v>Approve</v>
      </c>
      <c r="E6" s="44" t="str">
        <f>IF(Inputs!J6&lt;580,"⚠ Low CS","")</f>
        <v/>
      </c>
      <c r="F6" s="44" t="str">
        <f>IF(Inputs!O6&gt;=0.5,"⚠ DTI {}"&amp;TEXT(Inputs!O6,"0%"),"")</f>
        <v/>
      </c>
      <c r="G6" s="44" t="str">
        <f>IF(Inputs!P6&lt;2000,"⚠ Surplus R"&amp;TEXT(Inputs!P6,"#,##0"),"")</f>
        <v/>
      </c>
      <c r="H6" s="44" t="str">
        <f>IF(Inputs!K6&gt;=2,"⚠ "&amp;Inputs!K6&amp;" missed","")</f>
        <v/>
      </c>
      <c r="I6" s="44" t="str">
        <f>IF(Inputs!L6&lt;2,"⚠ "&amp;Inputs!L6&amp;" yr(s)","")</f>
        <v/>
      </c>
      <c r="J6" s="54" t="str">
        <f>IF('Scorecard Logic'!J34="POLICY DECLINE","⚠ Policy Override","")</f>
        <v/>
      </c>
    </row>
    <row r="7" spans="1:10" ht="18" customHeight="1" x14ac:dyDescent="0.2">
      <c r="A7" s="46" t="str">
        <f>'Scorecard Logic'!A35</f>
        <v>SA-2025-004</v>
      </c>
      <c r="B7" s="55">
        <f>'Scorecard Logic'!H35</f>
        <v>47</v>
      </c>
      <c r="C7" s="56" t="str">
        <f>'Scorecard Logic'!I35</f>
        <v>Medium Risk</v>
      </c>
      <c r="D7" s="57" t="str">
        <f>'Scorecard Logic'!K35</f>
        <v>Approve</v>
      </c>
      <c r="E7" s="49" t="str">
        <f>IF(Inputs!J7&lt;580,"⚠ Low CS","")</f>
        <v/>
      </c>
      <c r="F7" s="49" t="str">
        <f>IF(Inputs!O7&gt;=0.5,"⚠ DTI {}"&amp;TEXT(Inputs!O7,"0%"),"")</f>
        <v/>
      </c>
      <c r="G7" s="49" t="str">
        <f>IF(Inputs!P7&lt;2000,"⚠ Surplus R"&amp;TEXT(Inputs!P7,"#,##0"),"")</f>
        <v/>
      </c>
      <c r="H7" s="49" t="str">
        <f>IF(Inputs!K7&gt;=2,"⚠ "&amp;Inputs!K7&amp;" missed","")</f>
        <v>⚠ 2 missed</v>
      </c>
      <c r="I7" s="49" t="str">
        <f>IF(Inputs!L7&lt;2,"⚠ "&amp;Inputs!L7&amp;" yr(s)","")</f>
        <v>⚠ 1 yr(s)</v>
      </c>
      <c r="J7" s="58" t="str">
        <f>IF('Scorecard Logic'!J35="POLICY DECLINE","⚠ Policy Override","")</f>
        <v/>
      </c>
    </row>
    <row r="8" spans="1:10" ht="18" customHeight="1" x14ac:dyDescent="0.2">
      <c r="A8" s="41" t="str">
        <f>'Scorecard Logic'!A36</f>
        <v>SA-2025-005</v>
      </c>
      <c r="B8" s="51">
        <f>'Scorecard Logic'!H36</f>
        <v>64</v>
      </c>
      <c r="C8" s="52" t="str">
        <f>'Scorecard Logic'!I36</f>
        <v>Medium Risk</v>
      </c>
      <c r="D8" s="53" t="str">
        <f>'Scorecard Logic'!K36</f>
        <v>Approve</v>
      </c>
      <c r="E8" s="44" t="str">
        <f>IF(Inputs!J8&lt;580,"⚠ Low CS","")</f>
        <v/>
      </c>
      <c r="F8" s="44" t="str">
        <f>IF(Inputs!O8&gt;=0.5,"⚠ DTI {}"&amp;TEXT(Inputs!O8,"0%"),"")</f>
        <v>⚠ DTI {}57%</v>
      </c>
      <c r="G8" s="44" t="str">
        <f>IF(Inputs!P8&lt;2000,"⚠ Surplus R"&amp;TEXT(Inputs!P8,"#,##0"),"")</f>
        <v/>
      </c>
      <c r="H8" s="44" t="str">
        <f>IF(Inputs!K8&gt;=2,"⚠ "&amp;Inputs!K8&amp;" missed","")</f>
        <v/>
      </c>
      <c r="I8" s="44" t="str">
        <f>IF(Inputs!L8&lt;2,"⚠ "&amp;Inputs!L8&amp;" yr(s)","")</f>
        <v/>
      </c>
      <c r="J8" s="54" t="str">
        <f>IF('Scorecard Logic'!J36="POLICY DECLINE","⚠ Policy Override","")</f>
        <v/>
      </c>
    </row>
    <row r="9" spans="1:10" ht="18" customHeight="1" x14ac:dyDescent="0.2">
      <c r="A9" s="46" t="str">
        <f>'Scorecard Logic'!A37</f>
        <v>SA-2025-006</v>
      </c>
      <c r="B9" s="55">
        <f>'Scorecard Logic'!H37</f>
        <v>81</v>
      </c>
      <c r="C9" s="56" t="str">
        <f>'Scorecard Logic'!I37</f>
        <v>Low Risk</v>
      </c>
      <c r="D9" s="57" t="str">
        <f>'Scorecard Logic'!K37</f>
        <v>Approve</v>
      </c>
      <c r="E9" s="49" t="str">
        <f>IF(Inputs!J9&lt;580,"⚠ Low CS","")</f>
        <v/>
      </c>
      <c r="F9" s="49" t="str">
        <f>IF(Inputs!O9&gt;=0.5,"⚠ DTI {}"&amp;TEXT(Inputs!O9,"0%"),"")</f>
        <v/>
      </c>
      <c r="G9" s="49" t="str">
        <f>IF(Inputs!P9&lt;2000,"⚠ Surplus R"&amp;TEXT(Inputs!P9,"#,##0"),"")</f>
        <v/>
      </c>
      <c r="H9" s="49" t="str">
        <f>IF(Inputs!K9&gt;=2,"⚠ "&amp;Inputs!K9&amp;" missed","")</f>
        <v/>
      </c>
      <c r="I9" s="49" t="str">
        <f>IF(Inputs!L9&lt;2,"⚠ "&amp;Inputs!L9&amp;" yr(s)","")</f>
        <v/>
      </c>
      <c r="J9" s="58" t="str">
        <f>IF('Scorecard Logic'!J37="POLICY DECLINE","⚠ Policy Override","")</f>
        <v/>
      </c>
    </row>
    <row r="10" spans="1:10" ht="18" customHeight="1" x14ac:dyDescent="0.2">
      <c r="A10" s="41" t="str">
        <f>'Scorecard Logic'!A38</f>
        <v>SA-2025-007</v>
      </c>
      <c r="B10" s="51">
        <f>'Scorecard Logic'!H38</f>
        <v>21</v>
      </c>
      <c r="C10" s="52" t="str">
        <f>'Scorecard Logic'!I38</f>
        <v>High Risk</v>
      </c>
      <c r="D10" s="53" t="str">
        <f>'Scorecard Logic'!K38</f>
        <v>Decline</v>
      </c>
      <c r="E10" s="44" t="str">
        <f>IF(Inputs!J10&lt;580,"⚠ Low CS","")</f>
        <v>⚠ Low CS</v>
      </c>
      <c r="F10" s="44" t="str">
        <f>IF(Inputs!O10&gt;=0.5,"⚠ DTI {}"&amp;TEXT(Inputs!O10,"0%"),"")</f>
        <v/>
      </c>
      <c r="G10" s="44" t="str">
        <f>IF(Inputs!P10&lt;2000,"⚠ Surplus R"&amp;TEXT(Inputs!P10,"#,##0"),"")</f>
        <v>⚠ Surplus R-6841,056</v>
      </c>
      <c r="H10" s="44" t="str">
        <f>IF(Inputs!K10&gt;=2,"⚠ "&amp;Inputs!K10&amp;" missed","")</f>
        <v>⚠ 4 missed</v>
      </c>
      <c r="I10" s="44" t="str">
        <f>IF(Inputs!L10&lt;2,"⚠ "&amp;Inputs!L10&amp;" yr(s)","")</f>
        <v>⚠ 0 yr(s)</v>
      </c>
      <c r="J10" s="54" t="str">
        <f>IF('Scorecard Logic'!J38="POLICY DECLINE","⚠ Policy Override","")</f>
        <v>⚠ Policy Override</v>
      </c>
    </row>
    <row r="11" spans="1:10" ht="18" customHeight="1" x14ac:dyDescent="0.2">
      <c r="A11" s="46" t="str">
        <f>'Scorecard Logic'!A39</f>
        <v>SA-2025-008</v>
      </c>
      <c r="B11" s="55">
        <f>'Scorecard Logic'!H39</f>
        <v>71</v>
      </c>
      <c r="C11" s="56" t="str">
        <f>'Scorecard Logic'!I39</f>
        <v>Low Risk</v>
      </c>
      <c r="D11" s="57" t="str">
        <f>'Scorecard Logic'!K39</f>
        <v>Approve</v>
      </c>
      <c r="E11" s="49" t="str">
        <f>IF(Inputs!J11&lt;580,"⚠ Low CS","")</f>
        <v/>
      </c>
      <c r="F11" s="49" t="str">
        <f>IF(Inputs!O11&gt;=0.5,"⚠ DTI {}"&amp;TEXT(Inputs!O11,"0%"),"")</f>
        <v/>
      </c>
      <c r="G11" s="49" t="str">
        <f>IF(Inputs!P11&lt;2000,"⚠ Surplus R"&amp;TEXT(Inputs!P11,"#,##0"),"")</f>
        <v/>
      </c>
      <c r="H11" s="49" t="str">
        <f>IF(Inputs!K11&gt;=2,"⚠ "&amp;Inputs!K11&amp;" missed","")</f>
        <v/>
      </c>
      <c r="I11" s="49" t="str">
        <f>IF(Inputs!L11&lt;2,"⚠ "&amp;Inputs!L11&amp;" yr(s)","")</f>
        <v/>
      </c>
      <c r="J11" s="58" t="str">
        <f>IF('Scorecard Logic'!J39="POLICY DECLINE","⚠ Policy Override","")</f>
        <v/>
      </c>
    </row>
    <row r="12" spans="1:10" ht="18" customHeight="1" x14ac:dyDescent="0.2">
      <c r="A12" s="41" t="str">
        <f>'Scorecard Logic'!A40</f>
        <v>SA-2025-009</v>
      </c>
      <c r="B12" s="51">
        <f>'Scorecard Logic'!H40</f>
        <v>85</v>
      </c>
      <c r="C12" s="52" t="str">
        <f>'Scorecard Logic'!I40</f>
        <v>Low Risk</v>
      </c>
      <c r="D12" s="53" t="str">
        <f>'Scorecard Logic'!K40</f>
        <v>Approve</v>
      </c>
      <c r="E12" s="44" t="str">
        <f>IF(Inputs!J12&lt;580,"⚠ Low CS","")</f>
        <v/>
      </c>
      <c r="F12" s="44" t="str">
        <f>IF(Inputs!O12&gt;=0.5,"⚠ DTI {}"&amp;TEXT(Inputs!O12,"0%"),"")</f>
        <v/>
      </c>
      <c r="G12" s="44" t="str">
        <f>IF(Inputs!P12&lt;2000,"⚠ Surplus R"&amp;TEXT(Inputs!P12,"#,##0"),"")</f>
        <v/>
      </c>
      <c r="H12" s="44" t="str">
        <f>IF(Inputs!K12&gt;=2,"⚠ "&amp;Inputs!K12&amp;" missed","")</f>
        <v/>
      </c>
      <c r="I12" s="44" t="str">
        <f>IF(Inputs!L12&lt;2,"⚠ "&amp;Inputs!L12&amp;" yr(s)","")</f>
        <v/>
      </c>
      <c r="J12" s="54" t="str">
        <f>IF('Scorecard Logic'!J40="POLICY DECLINE","⚠ Policy Override","")</f>
        <v/>
      </c>
    </row>
    <row r="13" spans="1:10" ht="18" customHeight="1" x14ac:dyDescent="0.2">
      <c r="A13" s="46" t="str">
        <f>'Scorecard Logic'!A41</f>
        <v>SA-2025-010</v>
      </c>
      <c r="B13" s="55">
        <f>'Scorecard Logic'!H41</f>
        <v>41</v>
      </c>
      <c r="C13" s="56" t="str">
        <f>'Scorecard Logic'!I41</f>
        <v>High Risk</v>
      </c>
      <c r="D13" s="57" t="str">
        <f>'Scorecard Logic'!K41</f>
        <v>Decline</v>
      </c>
      <c r="E13" s="49" t="str">
        <f>IF(Inputs!J13&lt;580,"⚠ Low CS","")</f>
        <v/>
      </c>
      <c r="F13" s="49" t="str">
        <f>IF(Inputs!O13&gt;=0.5,"⚠ DTI {}"&amp;TEXT(Inputs!O13,"0%"),"")</f>
        <v/>
      </c>
      <c r="G13" s="49" t="str">
        <f>IF(Inputs!P13&lt;2000,"⚠ Surplus R"&amp;TEXT(Inputs!P13,"#,##0"),"")</f>
        <v/>
      </c>
      <c r="H13" s="49" t="str">
        <f>IF(Inputs!K13&gt;=2,"⚠ "&amp;Inputs!K13&amp;" missed","")</f>
        <v/>
      </c>
      <c r="I13" s="49" t="str">
        <f>IF(Inputs!L13&lt;2,"⚠ "&amp;Inputs!L13&amp;" yr(s)","")</f>
        <v/>
      </c>
      <c r="J13" s="58" t="str">
        <f>IF('Scorecard Logic'!J41="POLICY DECLINE","⚠ Policy Override","")</f>
        <v/>
      </c>
    </row>
    <row r="14" spans="1:10" ht="18" customHeight="1" x14ac:dyDescent="0.2">
      <c r="A14" s="41" t="str">
        <f>'Scorecard Logic'!A42</f>
        <v>SA-2025-011</v>
      </c>
      <c r="B14" s="51">
        <f>'Scorecard Logic'!H42</f>
        <v>100</v>
      </c>
      <c r="C14" s="52" t="str">
        <f>'Scorecard Logic'!I42</f>
        <v>Low Risk</v>
      </c>
      <c r="D14" s="53" t="str">
        <f>'Scorecard Logic'!K42</f>
        <v>Approve</v>
      </c>
      <c r="E14" s="44" t="str">
        <f>IF(Inputs!J14&lt;580,"⚠ Low CS","")</f>
        <v/>
      </c>
      <c r="F14" s="44" t="str">
        <f>IF(Inputs!O14&gt;=0.5,"⚠ DTI {}"&amp;TEXT(Inputs!O14,"0%"),"")</f>
        <v/>
      </c>
      <c r="G14" s="44" t="str">
        <f>IF(Inputs!P14&lt;2000,"⚠ Surplus R"&amp;TEXT(Inputs!P14,"#,##0"),"")</f>
        <v/>
      </c>
      <c r="H14" s="44" t="str">
        <f>IF(Inputs!K14&gt;=2,"⚠ "&amp;Inputs!K14&amp;" missed","")</f>
        <v/>
      </c>
      <c r="I14" s="44" t="str">
        <f>IF(Inputs!L14&lt;2,"⚠ "&amp;Inputs!L14&amp;" yr(s)","")</f>
        <v/>
      </c>
      <c r="J14" s="54" t="str">
        <f>IF('Scorecard Logic'!J42="POLICY DECLINE","⚠ Policy Override","")</f>
        <v/>
      </c>
    </row>
    <row r="15" spans="1:10" ht="18" customHeight="1" x14ac:dyDescent="0.2">
      <c r="A15" s="46" t="str">
        <f>'Scorecard Logic'!A43</f>
        <v>SA-2025-012</v>
      </c>
      <c r="B15" s="55">
        <f>'Scorecard Logic'!H43</f>
        <v>69</v>
      </c>
      <c r="C15" s="56" t="str">
        <f>'Scorecard Logic'!I43</f>
        <v>Low Risk</v>
      </c>
      <c r="D15" s="57" t="str">
        <f>'Scorecard Logic'!K43</f>
        <v>Approve</v>
      </c>
      <c r="E15" s="49" t="str">
        <f>IF(Inputs!J15&lt;580,"⚠ Low CS","")</f>
        <v/>
      </c>
      <c r="F15" s="49" t="str">
        <f>IF(Inputs!O15&gt;=0.5,"⚠ DTI {}"&amp;TEXT(Inputs!O15,"0%"),"")</f>
        <v/>
      </c>
      <c r="G15" s="49" t="str">
        <f>IF(Inputs!P15&lt;2000,"⚠ Surplus R"&amp;TEXT(Inputs!P15,"#,##0"),"")</f>
        <v/>
      </c>
      <c r="H15" s="49" t="str">
        <f>IF(Inputs!K15&gt;=2,"⚠ "&amp;Inputs!K15&amp;" missed","")</f>
        <v>⚠ 2 missed</v>
      </c>
      <c r="I15" s="49" t="str">
        <f>IF(Inputs!L15&lt;2,"⚠ "&amp;Inputs!L15&amp;" yr(s)","")</f>
        <v/>
      </c>
      <c r="J15" s="58" t="str">
        <f>IF('Scorecard Logic'!J43="POLICY DECLINE","⚠ Policy Override","")</f>
        <v/>
      </c>
    </row>
    <row r="16" spans="1:10" ht="18" customHeight="1" x14ac:dyDescent="0.2">
      <c r="A16" s="41" t="str">
        <f>'Scorecard Logic'!A44</f>
        <v>SA-2025-013</v>
      </c>
      <c r="B16" s="51">
        <f>'Scorecard Logic'!H44</f>
        <v>33</v>
      </c>
      <c r="C16" s="52" t="str">
        <f>'Scorecard Logic'!I44</f>
        <v>High Risk</v>
      </c>
      <c r="D16" s="53" t="str">
        <f>'Scorecard Logic'!K44</f>
        <v>Decline</v>
      </c>
      <c r="E16" s="44" t="str">
        <f>IF(Inputs!J16&lt;580,"⚠ Low CS","")</f>
        <v>⚠ Low CS</v>
      </c>
      <c r="F16" s="44" t="str">
        <f>IF(Inputs!O16&gt;=0.5,"⚠ DTI {}"&amp;TEXT(Inputs!O16,"0%"),"")</f>
        <v/>
      </c>
      <c r="G16" s="44" t="str">
        <f>IF(Inputs!P16&lt;2000,"⚠ Surplus R"&amp;TEXT(Inputs!P16,"#,##0"),"")</f>
        <v/>
      </c>
      <c r="H16" s="44" t="str">
        <f>IF(Inputs!K16&gt;=2,"⚠ "&amp;Inputs!K16&amp;" missed","")</f>
        <v>⚠ 3 missed</v>
      </c>
      <c r="I16" s="44" t="str">
        <f>IF(Inputs!L16&lt;2,"⚠ "&amp;Inputs!L16&amp;" yr(s)","")</f>
        <v>⚠ 1 yr(s)</v>
      </c>
      <c r="J16" s="54" t="str">
        <f>IF('Scorecard Logic'!J44="POLICY DECLINE","⚠ Policy Override","")</f>
        <v>⚠ Policy Override</v>
      </c>
    </row>
    <row r="17" spans="1:10" ht="18" customHeight="1" x14ac:dyDescent="0.2">
      <c r="A17" s="46" t="str">
        <f>'Scorecard Logic'!A45</f>
        <v>SA-2025-014</v>
      </c>
      <c r="B17" s="55">
        <f>'Scorecard Logic'!H45</f>
        <v>86</v>
      </c>
      <c r="C17" s="56" t="str">
        <f>'Scorecard Logic'!I45</f>
        <v>Low Risk</v>
      </c>
      <c r="D17" s="57" t="str">
        <f>'Scorecard Logic'!K45</f>
        <v>Approve</v>
      </c>
      <c r="E17" s="49" t="str">
        <f>IF(Inputs!J17&lt;580,"⚠ Low CS","")</f>
        <v/>
      </c>
      <c r="F17" s="49" t="str">
        <f>IF(Inputs!O17&gt;=0.5,"⚠ DTI {}"&amp;TEXT(Inputs!O17,"0%"),"")</f>
        <v/>
      </c>
      <c r="G17" s="49" t="str">
        <f>IF(Inputs!P17&lt;2000,"⚠ Surplus R"&amp;TEXT(Inputs!P17,"#,##0"),"")</f>
        <v/>
      </c>
      <c r="H17" s="49" t="str">
        <f>IF(Inputs!K17&gt;=2,"⚠ "&amp;Inputs!K17&amp;" missed","")</f>
        <v/>
      </c>
      <c r="I17" s="49" t="str">
        <f>IF(Inputs!L17&lt;2,"⚠ "&amp;Inputs!L17&amp;" yr(s)","")</f>
        <v/>
      </c>
      <c r="J17" s="58" t="str">
        <f>IF('Scorecard Logic'!J45="POLICY DECLINE","⚠ Policy Override","")</f>
        <v/>
      </c>
    </row>
    <row r="18" spans="1:10" ht="18" customHeight="1" x14ac:dyDescent="0.2">
      <c r="A18" s="41" t="str">
        <f>'Scorecard Logic'!A46</f>
        <v>SA-2025-015</v>
      </c>
      <c r="B18" s="51">
        <f>'Scorecard Logic'!H46</f>
        <v>95</v>
      </c>
      <c r="C18" s="52" t="str">
        <f>'Scorecard Logic'!I46</f>
        <v>Low Risk</v>
      </c>
      <c r="D18" s="53" t="str">
        <f>'Scorecard Logic'!K46</f>
        <v>Approve</v>
      </c>
      <c r="E18" s="44" t="str">
        <f>IF(Inputs!J18&lt;580,"⚠ Low CS","")</f>
        <v/>
      </c>
      <c r="F18" s="44" t="str">
        <f>IF(Inputs!O18&gt;=0.5,"⚠ DTI {}"&amp;TEXT(Inputs!O18,"0%"),"")</f>
        <v/>
      </c>
      <c r="G18" s="44" t="str">
        <f>IF(Inputs!P18&lt;2000,"⚠ Surplus R"&amp;TEXT(Inputs!P18,"#,##0"),"")</f>
        <v/>
      </c>
      <c r="H18" s="44" t="str">
        <f>IF(Inputs!K18&gt;=2,"⚠ "&amp;Inputs!K18&amp;" missed","")</f>
        <v/>
      </c>
      <c r="I18" s="44" t="str">
        <f>IF(Inputs!L18&lt;2,"⚠ "&amp;Inputs!L18&amp;" yr(s)","")</f>
        <v/>
      </c>
      <c r="J18" s="54" t="str">
        <f>IF('Scorecard Logic'!J46="POLICY DECLINE","⚠ Policy Override","")</f>
        <v/>
      </c>
    </row>
    <row r="19" spans="1:10" ht="18" customHeight="1" x14ac:dyDescent="0.2">
      <c r="A19" s="46" t="str">
        <f>'Scorecard Logic'!A47</f>
        <v>SA-2025-016</v>
      </c>
      <c r="B19" s="55">
        <f>'Scorecard Logic'!H47</f>
        <v>61</v>
      </c>
      <c r="C19" s="56" t="str">
        <f>'Scorecard Logic'!I47</f>
        <v>Medium Risk</v>
      </c>
      <c r="D19" s="57" t="str">
        <f>'Scorecard Logic'!K47</f>
        <v>Approve</v>
      </c>
      <c r="E19" s="49" t="str">
        <f>IF(Inputs!J19&lt;580,"⚠ Low CS","")</f>
        <v/>
      </c>
      <c r="F19" s="49" t="str">
        <f>IF(Inputs!O19&gt;=0.5,"⚠ DTI {}"&amp;TEXT(Inputs!O19,"0%"),"")</f>
        <v/>
      </c>
      <c r="G19" s="49" t="str">
        <f>IF(Inputs!P19&lt;2000,"⚠ Surplus R"&amp;TEXT(Inputs!P19,"#,##0"),"")</f>
        <v/>
      </c>
      <c r="H19" s="49" t="str">
        <f>IF(Inputs!K19&gt;=2,"⚠ "&amp;Inputs!K19&amp;" missed","")</f>
        <v/>
      </c>
      <c r="I19" s="49" t="str">
        <f>IF(Inputs!L19&lt;2,"⚠ "&amp;Inputs!L19&amp;" yr(s)","")</f>
        <v>⚠ 1 yr(s)</v>
      </c>
      <c r="J19" s="58" t="str">
        <f>IF('Scorecard Logic'!J47="POLICY DECLINE","⚠ Policy Override","")</f>
        <v/>
      </c>
    </row>
    <row r="20" spans="1:10" ht="18" customHeight="1" x14ac:dyDescent="0.2">
      <c r="A20" s="41" t="str">
        <f>'Scorecard Logic'!A48</f>
        <v>SA-2025-017</v>
      </c>
      <c r="B20" s="51">
        <f>'Scorecard Logic'!H48</f>
        <v>100</v>
      </c>
      <c r="C20" s="52" t="str">
        <f>'Scorecard Logic'!I48</f>
        <v>Low Risk</v>
      </c>
      <c r="D20" s="53" t="str">
        <f>'Scorecard Logic'!K48</f>
        <v>Approve</v>
      </c>
      <c r="E20" s="44" t="str">
        <f>IF(Inputs!J20&lt;580,"⚠ Low CS","")</f>
        <v/>
      </c>
      <c r="F20" s="44" t="str">
        <f>IF(Inputs!O20&gt;=0.5,"⚠ DTI {}"&amp;TEXT(Inputs!O20,"0%"),"")</f>
        <v/>
      </c>
      <c r="G20" s="44" t="str">
        <f>IF(Inputs!P20&lt;2000,"⚠ Surplus R"&amp;TEXT(Inputs!P20,"#,##0"),"")</f>
        <v/>
      </c>
      <c r="H20" s="44" t="str">
        <f>IF(Inputs!K20&gt;=2,"⚠ "&amp;Inputs!K20&amp;" missed","")</f>
        <v/>
      </c>
      <c r="I20" s="44" t="str">
        <f>IF(Inputs!L20&lt;2,"⚠ "&amp;Inputs!L20&amp;" yr(s)","")</f>
        <v/>
      </c>
      <c r="J20" s="54" t="str">
        <f>IF('Scorecard Logic'!J48="POLICY DECLINE","⚠ Policy Override","")</f>
        <v/>
      </c>
    </row>
    <row r="21" spans="1:10" ht="18" customHeight="1" x14ac:dyDescent="0.2">
      <c r="A21" s="46" t="str">
        <f>'Scorecard Logic'!A49</f>
        <v>SA-2025-018</v>
      </c>
      <c r="B21" s="55">
        <f>'Scorecard Logic'!H49</f>
        <v>55</v>
      </c>
      <c r="C21" s="56" t="str">
        <f>'Scorecard Logic'!I49</f>
        <v>Medium Risk</v>
      </c>
      <c r="D21" s="57" t="str">
        <f>'Scorecard Logic'!K49</f>
        <v>Approve</v>
      </c>
      <c r="E21" s="49" t="str">
        <f>IF(Inputs!J21&lt;580,"⚠ Low CS","")</f>
        <v/>
      </c>
      <c r="F21" s="49" t="str">
        <f>IF(Inputs!O21&gt;=0.5,"⚠ DTI {}"&amp;TEXT(Inputs!O21,"0%"),"")</f>
        <v/>
      </c>
      <c r="G21" s="49" t="str">
        <f>IF(Inputs!P21&lt;2000,"⚠ Surplus R"&amp;TEXT(Inputs!P21,"#,##0"),"")</f>
        <v/>
      </c>
      <c r="H21" s="49" t="str">
        <f>IF(Inputs!K21&gt;=2,"⚠ "&amp;Inputs!K21&amp;" missed","")</f>
        <v>⚠ 2 missed</v>
      </c>
      <c r="I21" s="49" t="str">
        <f>IF(Inputs!L21&lt;2,"⚠ "&amp;Inputs!L21&amp;" yr(s)","")</f>
        <v/>
      </c>
      <c r="J21" s="58" t="str">
        <f>IF('Scorecard Logic'!J49="POLICY DECLINE","⚠ Policy Override","")</f>
        <v/>
      </c>
    </row>
    <row r="22" spans="1:10" ht="18" customHeight="1" x14ac:dyDescent="0.2">
      <c r="A22" s="41" t="str">
        <f>'Scorecard Logic'!A50</f>
        <v>SA-2025-019</v>
      </c>
      <c r="B22" s="51">
        <f>'Scorecard Logic'!H50</f>
        <v>89</v>
      </c>
      <c r="C22" s="52" t="str">
        <f>'Scorecard Logic'!I50</f>
        <v>Low Risk</v>
      </c>
      <c r="D22" s="53" t="str">
        <f>'Scorecard Logic'!K50</f>
        <v>Approve</v>
      </c>
      <c r="E22" s="44" t="str">
        <f>IF(Inputs!J22&lt;580,"⚠ Low CS","")</f>
        <v/>
      </c>
      <c r="F22" s="44" t="str">
        <f>IF(Inputs!O22&gt;=0.5,"⚠ DTI {}"&amp;TEXT(Inputs!O22,"0%"),"")</f>
        <v/>
      </c>
      <c r="G22" s="44" t="str">
        <f>IF(Inputs!P22&lt;2000,"⚠ Surplus R"&amp;TEXT(Inputs!P22,"#,##0"),"")</f>
        <v/>
      </c>
      <c r="H22" s="44" t="str">
        <f>IF(Inputs!K22&gt;=2,"⚠ "&amp;Inputs!K22&amp;" missed","")</f>
        <v/>
      </c>
      <c r="I22" s="44" t="str">
        <f>IF(Inputs!L22&lt;2,"⚠ "&amp;Inputs!L22&amp;" yr(s)","")</f>
        <v/>
      </c>
      <c r="J22" s="54" t="str">
        <f>IF('Scorecard Logic'!J50="POLICY DECLINE","⚠ Policy Override","")</f>
        <v/>
      </c>
    </row>
    <row r="23" spans="1:10" ht="18" customHeight="1" x14ac:dyDescent="0.2">
      <c r="A23" s="46" t="str">
        <f>'Scorecard Logic'!A51</f>
        <v>SA-2025-020</v>
      </c>
      <c r="B23" s="55">
        <f>'Scorecard Logic'!H51</f>
        <v>33</v>
      </c>
      <c r="C23" s="56" t="str">
        <f>'Scorecard Logic'!I51</f>
        <v>High Risk</v>
      </c>
      <c r="D23" s="57" t="str">
        <f>'Scorecard Logic'!K51</f>
        <v>Decline</v>
      </c>
      <c r="E23" s="49" t="str">
        <f>IF(Inputs!J23&lt;580,"⚠ Low CS","")</f>
        <v>⚠ Low CS</v>
      </c>
      <c r="F23" s="49" t="str">
        <f>IF(Inputs!O23&gt;=0.5,"⚠ DTI {}"&amp;TEXT(Inputs!O23,"0%"),"")</f>
        <v/>
      </c>
      <c r="G23" s="49" t="str">
        <f>IF(Inputs!P23&lt;2000,"⚠ Surplus R"&amp;TEXT(Inputs!P23,"#,##0"),"")</f>
        <v/>
      </c>
      <c r="H23" s="49" t="str">
        <f>IF(Inputs!K23&gt;=2,"⚠ "&amp;Inputs!K23&amp;" missed","")</f>
        <v>⚠ 4 missed</v>
      </c>
      <c r="I23" s="49" t="str">
        <f>IF(Inputs!L23&lt;2,"⚠ "&amp;Inputs!L23&amp;" yr(s)","")</f>
        <v>⚠ 1 yr(s)</v>
      </c>
      <c r="J23" s="58" t="str">
        <f>IF('Scorecard Logic'!J51="POLICY DECLINE","⚠ Policy Override","")</f>
        <v>⚠ Policy Override</v>
      </c>
    </row>
    <row r="24" spans="1:10" ht="18" customHeight="1" x14ac:dyDescent="0.2">
      <c r="A24" s="41" t="str">
        <f>'Scorecard Logic'!A52</f>
        <v>SA-2025-021</v>
      </c>
      <c r="B24" s="51">
        <f>'Scorecard Logic'!H52</f>
        <v>81</v>
      </c>
      <c r="C24" s="52" t="str">
        <f>'Scorecard Logic'!I52</f>
        <v>Low Risk</v>
      </c>
      <c r="D24" s="53" t="str">
        <f>'Scorecard Logic'!K52</f>
        <v>Approve</v>
      </c>
      <c r="E24" s="44" t="str">
        <f>IF(Inputs!J24&lt;580,"⚠ Low CS","")</f>
        <v/>
      </c>
      <c r="F24" s="44" t="str">
        <f>IF(Inputs!O24&gt;=0.5,"⚠ DTI {}"&amp;TEXT(Inputs!O24,"0%"),"")</f>
        <v/>
      </c>
      <c r="G24" s="44" t="str">
        <f>IF(Inputs!P24&lt;2000,"⚠ Surplus R"&amp;TEXT(Inputs!P24,"#,##0"),"")</f>
        <v/>
      </c>
      <c r="H24" s="44" t="str">
        <f>IF(Inputs!K24&gt;=2,"⚠ "&amp;Inputs!K24&amp;" missed","")</f>
        <v/>
      </c>
      <c r="I24" s="44" t="str">
        <f>IF(Inputs!L24&lt;2,"⚠ "&amp;Inputs!L24&amp;" yr(s)","")</f>
        <v/>
      </c>
      <c r="J24" s="54" t="str">
        <f>IF('Scorecard Logic'!J52="POLICY DECLINE","⚠ Policy Override","")</f>
        <v/>
      </c>
    </row>
    <row r="25" spans="1:10" ht="18" customHeight="1" x14ac:dyDescent="0.2">
      <c r="A25" s="46" t="str">
        <f>'Scorecard Logic'!A53</f>
        <v>SA-2025-022</v>
      </c>
      <c r="B25" s="55">
        <f>'Scorecard Logic'!H53</f>
        <v>90</v>
      </c>
      <c r="C25" s="56" t="str">
        <f>'Scorecard Logic'!I53</f>
        <v>Low Risk</v>
      </c>
      <c r="D25" s="57" t="str">
        <f>'Scorecard Logic'!K53</f>
        <v>Approve</v>
      </c>
      <c r="E25" s="49" t="str">
        <f>IF(Inputs!J25&lt;580,"⚠ Low CS","")</f>
        <v/>
      </c>
      <c r="F25" s="49" t="str">
        <f>IF(Inputs!O25&gt;=0.5,"⚠ DTI {}"&amp;TEXT(Inputs!O25,"0%"),"")</f>
        <v/>
      </c>
      <c r="G25" s="49" t="str">
        <f>IF(Inputs!P25&lt;2000,"⚠ Surplus R"&amp;TEXT(Inputs!P25,"#,##0"),"")</f>
        <v/>
      </c>
      <c r="H25" s="49" t="str">
        <f>IF(Inputs!K25&gt;=2,"⚠ "&amp;Inputs!K25&amp;" missed","")</f>
        <v/>
      </c>
      <c r="I25" s="49" t="str">
        <f>IF(Inputs!L25&lt;2,"⚠ "&amp;Inputs!L25&amp;" yr(s)","")</f>
        <v/>
      </c>
      <c r="J25" s="58" t="str">
        <f>IF('Scorecard Logic'!J53="POLICY DECLINE","⚠ Policy Override","")</f>
        <v/>
      </c>
    </row>
    <row r="26" spans="1:10" ht="18" customHeight="1" x14ac:dyDescent="0.2">
      <c r="A26" s="41" t="str">
        <f>'Scorecard Logic'!A54</f>
        <v>SA-2025-023</v>
      </c>
      <c r="B26" s="51">
        <f>'Scorecard Logic'!H54</f>
        <v>76</v>
      </c>
      <c r="C26" s="52" t="str">
        <f>'Scorecard Logic'!I54</f>
        <v>Low Risk</v>
      </c>
      <c r="D26" s="53" t="str">
        <f>'Scorecard Logic'!K54</f>
        <v>Approve</v>
      </c>
      <c r="E26" s="44" t="str">
        <f>IF(Inputs!J26&lt;580,"⚠ Low CS","")</f>
        <v/>
      </c>
      <c r="F26" s="44" t="str">
        <f>IF(Inputs!O26&gt;=0.5,"⚠ DTI {}"&amp;TEXT(Inputs!O26,"0%"),"")</f>
        <v/>
      </c>
      <c r="G26" s="44" t="str">
        <f>IF(Inputs!P26&lt;2000,"⚠ Surplus R"&amp;TEXT(Inputs!P26,"#,##0"),"")</f>
        <v/>
      </c>
      <c r="H26" s="44" t="str">
        <f>IF(Inputs!K26&gt;=2,"⚠ "&amp;Inputs!K26&amp;" missed","")</f>
        <v/>
      </c>
      <c r="I26" s="44" t="str">
        <f>IF(Inputs!L26&lt;2,"⚠ "&amp;Inputs!L26&amp;" yr(s)","")</f>
        <v/>
      </c>
      <c r="J26" s="54" t="str">
        <f>IF('Scorecard Logic'!J54="POLICY DECLINE","⚠ Policy Override","")</f>
        <v/>
      </c>
    </row>
    <row r="27" spans="1:10" ht="18" customHeight="1" x14ac:dyDescent="0.2">
      <c r="A27" s="46" t="str">
        <f>'Scorecard Logic'!A55</f>
        <v>SA-2025-024</v>
      </c>
      <c r="B27" s="55">
        <f>'Scorecard Logic'!H55</f>
        <v>37</v>
      </c>
      <c r="C27" s="56" t="str">
        <f>'Scorecard Logic'!I55</f>
        <v>High Risk</v>
      </c>
      <c r="D27" s="57" t="str">
        <f>'Scorecard Logic'!K55</f>
        <v>Decline</v>
      </c>
      <c r="E27" s="49" t="str">
        <f>IF(Inputs!J27&lt;580,"⚠ Low CS","")</f>
        <v/>
      </c>
      <c r="F27" s="49" t="str">
        <f>IF(Inputs!O27&gt;=0.5,"⚠ DTI {}"&amp;TEXT(Inputs!O27,"0%"),"")</f>
        <v/>
      </c>
      <c r="G27" s="49" t="str">
        <f>IF(Inputs!P27&lt;2000,"⚠ Surplus R"&amp;TEXT(Inputs!P27,"#,##0"),"")</f>
        <v/>
      </c>
      <c r="H27" s="49" t="str">
        <f>IF(Inputs!K27&gt;=2,"⚠ "&amp;Inputs!K27&amp;" missed","")</f>
        <v>⚠ 2 missed</v>
      </c>
      <c r="I27" s="49" t="str">
        <f>IF(Inputs!L27&lt;2,"⚠ "&amp;Inputs!L27&amp;" yr(s)","")</f>
        <v/>
      </c>
      <c r="J27" s="58" t="str">
        <f>IF('Scorecard Logic'!J55="POLICY DECLINE","⚠ Policy Override","")</f>
        <v/>
      </c>
    </row>
    <row r="28" spans="1:10" ht="18" customHeight="1" x14ac:dyDescent="0.2">
      <c r="A28" s="41" t="str">
        <f>'Scorecard Logic'!A56</f>
        <v>SA-2025-025</v>
      </c>
      <c r="B28" s="51">
        <f>'Scorecard Logic'!H56</f>
        <v>95</v>
      </c>
      <c r="C28" s="52" t="str">
        <f>'Scorecard Logic'!I56</f>
        <v>Low Risk</v>
      </c>
      <c r="D28" s="53" t="str">
        <f>'Scorecard Logic'!K56</f>
        <v>Approve</v>
      </c>
      <c r="E28" s="44" t="str">
        <f>IF(Inputs!J28&lt;580,"⚠ Low CS","")</f>
        <v/>
      </c>
      <c r="F28" s="44" t="str">
        <f>IF(Inputs!O28&gt;=0.5,"⚠ DTI {}"&amp;TEXT(Inputs!O28,"0%"),"")</f>
        <v/>
      </c>
      <c r="G28" s="44" t="str">
        <f>IF(Inputs!P28&lt;2000,"⚠ Surplus R"&amp;TEXT(Inputs!P28,"#,##0"),"")</f>
        <v/>
      </c>
      <c r="H28" s="44" t="str">
        <f>IF(Inputs!K28&gt;=2,"⚠ "&amp;Inputs!K28&amp;" missed","")</f>
        <v/>
      </c>
      <c r="I28" s="44" t="str">
        <f>IF(Inputs!L28&lt;2,"⚠ "&amp;Inputs!L28&amp;" yr(s)","")</f>
        <v/>
      </c>
      <c r="J28" s="54" t="str">
        <f>IF('Scorecard Logic'!J56="POLICY DECLINE","⚠ Policy Override","")</f>
        <v/>
      </c>
    </row>
    <row r="29" spans="1:10" ht="18" customHeight="1" x14ac:dyDescent="0.2">
      <c r="A29" s="46" t="str">
        <f>'Scorecard Logic'!A57</f>
        <v>SA-2025-026</v>
      </c>
      <c r="B29" s="55">
        <f>'Scorecard Logic'!H57</f>
        <v>64</v>
      </c>
      <c r="C29" s="56" t="str">
        <f>'Scorecard Logic'!I57</f>
        <v>Medium Risk</v>
      </c>
      <c r="D29" s="57" t="str">
        <f>'Scorecard Logic'!K57</f>
        <v>Approve</v>
      </c>
      <c r="E29" s="49" t="str">
        <f>IF(Inputs!J29&lt;580,"⚠ Low CS","")</f>
        <v/>
      </c>
      <c r="F29" s="49" t="str">
        <f>IF(Inputs!O29&gt;=0.5,"⚠ DTI {}"&amp;TEXT(Inputs!O29,"0%"),"")</f>
        <v/>
      </c>
      <c r="G29" s="49" t="str">
        <f>IF(Inputs!P29&lt;2000,"⚠ Surplus R"&amp;TEXT(Inputs!P29,"#,##0"),"")</f>
        <v/>
      </c>
      <c r="H29" s="49" t="str">
        <f>IF(Inputs!K29&gt;=2,"⚠ "&amp;Inputs!K29&amp;" missed","")</f>
        <v/>
      </c>
      <c r="I29" s="49" t="str">
        <f>IF(Inputs!L29&lt;2,"⚠ "&amp;Inputs!L29&amp;" yr(s)","")</f>
        <v/>
      </c>
      <c r="J29" s="58" t="str">
        <f>IF('Scorecard Logic'!J57="POLICY DECLINE","⚠ Policy Override","")</f>
        <v/>
      </c>
    </row>
    <row r="30" spans="1:10" ht="18" customHeight="1" x14ac:dyDescent="0.2">
      <c r="A30" s="41" t="str">
        <f>'Scorecard Logic'!A58</f>
        <v>SA-2025-027</v>
      </c>
      <c r="B30" s="51">
        <f>'Scorecard Logic'!H58</f>
        <v>95</v>
      </c>
      <c r="C30" s="52" t="str">
        <f>'Scorecard Logic'!I58</f>
        <v>Low Risk</v>
      </c>
      <c r="D30" s="53" t="str">
        <f>'Scorecard Logic'!K58</f>
        <v>Approve</v>
      </c>
      <c r="E30" s="44" t="str">
        <f>IF(Inputs!J30&lt;580,"⚠ Low CS","")</f>
        <v/>
      </c>
      <c r="F30" s="44" t="str">
        <f>IF(Inputs!O30&gt;=0.5,"⚠ DTI {}"&amp;TEXT(Inputs!O30,"0%"),"")</f>
        <v/>
      </c>
      <c r="G30" s="44" t="str">
        <f>IF(Inputs!P30&lt;2000,"⚠ Surplus R"&amp;TEXT(Inputs!P30,"#,##0"),"")</f>
        <v/>
      </c>
      <c r="H30" s="44" t="str">
        <f>IF(Inputs!K30&gt;=2,"⚠ "&amp;Inputs!K30&amp;" missed","")</f>
        <v/>
      </c>
      <c r="I30" s="44" t="str">
        <f>IF(Inputs!L30&lt;2,"⚠ "&amp;Inputs!L30&amp;" yr(s)","")</f>
        <v/>
      </c>
      <c r="J30" s="54" t="str">
        <f>IF('Scorecard Logic'!J58="POLICY DECLINE","⚠ Policy Override","")</f>
        <v/>
      </c>
    </row>
    <row r="31" spans="1:10" ht="18" customHeight="1" x14ac:dyDescent="0.2">
      <c r="A31" s="46" t="str">
        <f>'Scorecard Logic'!A59</f>
        <v>SA-2025-028</v>
      </c>
      <c r="B31" s="55">
        <f>'Scorecard Logic'!H59</f>
        <v>21</v>
      </c>
      <c r="C31" s="56" t="str">
        <f>'Scorecard Logic'!I59</f>
        <v>High Risk</v>
      </c>
      <c r="D31" s="57" t="str">
        <f>'Scorecard Logic'!K59</f>
        <v>Decline</v>
      </c>
      <c r="E31" s="49" t="str">
        <f>IF(Inputs!J31&lt;580,"⚠ Low CS","")</f>
        <v>⚠ Low CS</v>
      </c>
      <c r="F31" s="49" t="str">
        <f>IF(Inputs!O31&gt;=0.5,"⚠ DTI {}"&amp;TEXT(Inputs!O31,"0%"),"")</f>
        <v/>
      </c>
      <c r="G31" s="49" t="str">
        <f>IF(Inputs!P31&lt;2000,"⚠ Surplus R"&amp;TEXT(Inputs!P31,"#,##0"),"")</f>
        <v>⚠ Surplus R-7753,687</v>
      </c>
      <c r="H31" s="49" t="str">
        <f>IF(Inputs!K31&gt;=2,"⚠ "&amp;Inputs!K31&amp;" missed","")</f>
        <v>⚠ 5 missed</v>
      </c>
      <c r="I31" s="49" t="str">
        <f>IF(Inputs!L31&lt;2,"⚠ "&amp;Inputs!L31&amp;" yr(s)","")</f>
        <v>⚠ 0 yr(s)</v>
      </c>
      <c r="J31" s="58" t="str">
        <f>IF('Scorecard Logic'!J59="POLICY DECLINE","⚠ Policy Override","")</f>
        <v>⚠ Policy Override</v>
      </c>
    </row>
    <row r="32" spans="1:10" ht="18" customHeight="1" x14ac:dyDescent="0.2">
      <c r="A32" s="41" t="str">
        <f>'Scorecard Logic'!A60</f>
        <v>SA-2025-029</v>
      </c>
      <c r="B32" s="51">
        <f>'Scorecard Logic'!H60</f>
        <v>95</v>
      </c>
      <c r="C32" s="52" t="str">
        <f>'Scorecard Logic'!I60</f>
        <v>Low Risk</v>
      </c>
      <c r="D32" s="53" t="str">
        <f>'Scorecard Logic'!K60</f>
        <v>Approve</v>
      </c>
      <c r="E32" s="44" t="str">
        <f>IF(Inputs!J32&lt;580,"⚠ Low CS","")</f>
        <v/>
      </c>
      <c r="F32" s="44" t="str">
        <f>IF(Inputs!O32&gt;=0.5,"⚠ DTI {}"&amp;TEXT(Inputs!O32,"0%"),"")</f>
        <v/>
      </c>
      <c r="G32" s="44" t="str">
        <f>IF(Inputs!P32&lt;2000,"⚠ Surplus R"&amp;TEXT(Inputs!P32,"#,##0"),"")</f>
        <v/>
      </c>
      <c r="H32" s="44" t="str">
        <f>IF(Inputs!K32&gt;=2,"⚠ "&amp;Inputs!K32&amp;" missed","")</f>
        <v/>
      </c>
      <c r="I32" s="44" t="str">
        <f>IF(Inputs!L32&lt;2,"⚠ "&amp;Inputs!L32&amp;" yr(s)","")</f>
        <v/>
      </c>
      <c r="J32" s="54" t="str">
        <f>IF('Scorecard Logic'!J60="POLICY DECLINE","⚠ Policy Override","")</f>
        <v/>
      </c>
    </row>
    <row r="33" spans="1:10" ht="18" customHeight="1" x14ac:dyDescent="0.2">
      <c r="A33" s="46" t="str">
        <f>'Scorecard Logic'!A61</f>
        <v>SA-2025-030</v>
      </c>
      <c r="B33" s="55">
        <f>'Scorecard Logic'!H61</f>
        <v>35</v>
      </c>
      <c r="C33" s="56" t="str">
        <f>'Scorecard Logic'!I61</f>
        <v>High Risk</v>
      </c>
      <c r="D33" s="57" t="str">
        <f>'Scorecard Logic'!K61</f>
        <v>Decline</v>
      </c>
      <c r="E33" s="49" t="str">
        <f>IF(Inputs!J33&lt;580,"⚠ Low CS","")</f>
        <v>⚠ Low CS</v>
      </c>
      <c r="F33" s="49" t="str">
        <f>IF(Inputs!O33&gt;=0.5,"⚠ DTI {}"&amp;TEXT(Inputs!O33,"0%"),"")</f>
        <v/>
      </c>
      <c r="G33" s="49" t="str">
        <f>IF(Inputs!P33&lt;2000,"⚠ Surplus R"&amp;TEXT(Inputs!P33,"#,##0"),"")</f>
        <v/>
      </c>
      <c r="H33" s="49" t="str">
        <f>IF(Inputs!K33&gt;=2,"⚠ "&amp;Inputs!K33&amp;" missed","")</f>
        <v>⚠ 2 missed</v>
      </c>
      <c r="I33" s="49" t="str">
        <f>IF(Inputs!L33&lt;2,"⚠ "&amp;Inputs!L33&amp;" yr(s)","")</f>
        <v>⚠ 0 yr(s)</v>
      </c>
      <c r="J33" s="58" t="str">
        <f>IF('Scorecard Logic'!J61="POLICY DECLINE","⚠ Policy Override","")</f>
        <v/>
      </c>
    </row>
  </sheetData>
  <mergeCells count="3">
    <mergeCell ref="A1:J1"/>
    <mergeCell ref="A2:D2"/>
    <mergeCell ref="E2:J2"/>
  </mergeCells>
  <conditionalFormatting sqref="C4:C33">
    <cfRule type="cellIs" dxfId="8" priority="5" operator="equal">
      <formula>"Low Risk"</formula>
    </cfRule>
    <cfRule type="cellIs" dxfId="7" priority="6" operator="equal">
      <formula>"Medium Risk"</formula>
    </cfRule>
    <cfRule type="cellIs" dxfId="6" priority="7" operator="equal">
      <formula>"High Risk"</formula>
    </cfRule>
  </conditionalFormatting>
  <conditionalFormatting sqref="D4:D33">
    <cfRule type="cellIs" dxfId="5" priority="2" operator="equal">
      <formula>"Approve"</formula>
    </cfRule>
    <cfRule type="cellIs" dxfId="4" priority="3" operator="equal">
      <formula>"Review"</formula>
    </cfRule>
    <cfRule type="cellIs" dxfId="3" priority="4" operator="equal">
      <formula>"Decline"</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7950B"/>
  </sheetPr>
  <dimension ref="A1:H32"/>
  <sheetViews>
    <sheetView showGridLines="0" zoomScaleNormal="100" workbookViewId="0">
      <selection activeCell="B17" sqref="B17"/>
    </sheetView>
  </sheetViews>
  <sheetFormatPr baseColWidth="10" defaultColWidth="8.6640625" defaultRowHeight="15" x14ac:dyDescent="0.2"/>
  <cols>
    <col min="1" max="1" width="30" customWidth="1"/>
    <col min="2" max="4" width="18" customWidth="1"/>
    <col min="5" max="5" width="2" customWidth="1"/>
    <col min="6" max="6" width="28" customWidth="1"/>
    <col min="7" max="8" width="18" customWidth="1"/>
  </cols>
  <sheetData>
    <row r="1" spans="1:8" ht="27.75" customHeight="1" x14ac:dyDescent="0.2">
      <c r="A1" s="8" t="s">
        <v>195</v>
      </c>
      <c r="B1" s="8"/>
      <c r="C1" s="8"/>
      <c r="D1" s="8"/>
      <c r="E1" s="8"/>
      <c r="F1" s="8"/>
      <c r="G1" s="8"/>
      <c r="H1" s="8"/>
    </row>
    <row r="3" spans="1:8" x14ac:dyDescent="0.2">
      <c r="A3" s="2" t="s">
        <v>196</v>
      </c>
      <c r="B3" s="2"/>
      <c r="C3" s="2"/>
      <c r="F3" s="2" t="s">
        <v>197</v>
      </c>
      <c r="G3" s="2"/>
      <c r="H3" s="2"/>
    </row>
    <row r="4" spans="1:8" x14ac:dyDescent="0.2">
      <c r="A4" s="17" t="s">
        <v>198</v>
      </c>
      <c r="B4" s="17" t="s">
        <v>199</v>
      </c>
      <c r="C4" s="17" t="s">
        <v>200</v>
      </c>
      <c r="F4" s="17" t="s">
        <v>181</v>
      </c>
      <c r="G4" s="17" t="s">
        <v>201</v>
      </c>
      <c r="H4" s="17" t="s">
        <v>200</v>
      </c>
    </row>
    <row r="5" spans="1:8" x14ac:dyDescent="0.2">
      <c r="A5" s="59" t="s">
        <v>202</v>
      </c>
      <c r="B5" s="60">
        <f>COUNTA('Decision Output'!A4:A33)</f>
        <v>30</v>
      </c>
      <c r="F5" s="61" t="s">
        <v>203</v>
      </c>
      <c r="G5" s="62">
        <f>COUNTIF('Decision Output'!C4:C33,"Low Risk")</f>
        <v>18</v>
      </c>
      <c r="H5" s="63">
        <f>IFERROR(G5/B5,0)</f>
        <v>0.6</v>
      </c>
    </row>
    <row r="6" spans="1:8" x14ac:dyDescent="0.2">
      <c r="A6" s="64" t="s">
        <v>204</v>
      </c>
      <c r="B6" s="65">
        <f>COUNTIF('Decision Output'!D4:D33,"Approve")</f>
        <v>23</v>
      </c>
      <c r="C6" s="24">
        <f>IFERROR(B6/B5,0)</f>
        <v>0.76666666666666672</v>
      </c>
      <c r="F6" s="66" t="s">
        <v>205</v>
      </c>
      <c r="G6" s="67">
        <f>COUNTIF('Decision Output'!C4:C33,"Medium Risk")</f>
        <v>5</v>
      </c>
      <c r="H6" s="68">
        <f>IFERROR(G6/B5,0)</f>
        <v>0.16666666666666666</v>
      </c>
    </row>
    <row r="7" spans="1:8" x14ac:dyDescent="0.2">
      <c r="A7" s="59" t="s">
        <v>206</v>
      </c>
      <c r="B7" s="60">
        <f>COUNTIF('Decision Output'!D4:D33,"Review")</f>
        <v>0</v>
      </c>
      <c r="C7" s="30">
        <f>IFERROR(B7/B5,0)</f>
        <v>0</v>
      </c>
      <c r="F7" s="69" t="s">
        <v>161</v>
      </c>
      <c r="G7" s="70">
        <f>COUNTIF('Decision Output'!C4:C33,"High Risk")</f>
        <v>7</v>
      </c>
      <c r="H7" s="71">
        <f>IFERROR(G7/B5,0)</f>
        <v>0.23333333333333334</v>
      </c>
    </row>
    <row r="8" spans="1:8" x14ac:dyDescent="0.2">
      <c r="A8" s="64" t="s">
        <v>207</v>
      </c>
      <c r="B8" s="65">
        <f>COUNTIF('Decision Output'!D4:D33,"Decline")</f>
        <v>7</v>
      </c>
      <c r="C8" s="24">
        <f>IFERROR(B8/B5,0)</f>
        <v>0.23333333333333334</v>
      </c>
    </row>
    <row r="9" spans="1:8" x14ac:dyDescent="0.2">
      <c r="A9" s="59" t="s">
        <v>208</v>
      </c>
      <c r="B9" s="60">
        <f>COUNTIF('Scorecard Logic'!J32:J61,"POLICY DECLINE")</f>
        <v>4</v>
      </c>
      <c r="C9" s="30">
        <f>IFERROR(B9/B5,0)</f>
        <v>0.13333333333333333</v>
      </c>
      <c r="F9" s="2" t="s">
        <v>209</v>
      </c>
      <c r="G9" s="2"/>
      <c r="H9" s="2"/>
    </row>
    <row r="10" spans="1:8" x14ac:dyDescent="0.2">
      <c r="F10" s="17" t="s">
        <v>210</v>
      </c>
      <c r="G10" s="17" t="s">
        <v>204</v>
      </c>
      <c r="H10" s="17" t="s">
        <v>207</v>
      </c>
    </row>
    <row r="11" spans="1:8" x14ac:dyDescent="0.2">
      <c r="F11" s="72" t="s">
        <v>37</v>
      </c>
      <c r="G11" s="55">
        <f>COUNTIFS(Inputs!D4:D33,"Permanently Employed",'Decision Output'!D4:D33,"Approve")</f>
        <v>16</v>
      </c>
      <c r="H11" s="73">
        <f>COUNTIFS(Inputs!D4:D33,"Permanently Employed",'Decision Output'!D4:D33,"Decline")</f>
        <v>0</v>
      </c>
    </row>
    <row r="12" spans="1:8" x14ac:dyDescent="0.2">
      <c r="A12" s="2" t="s">
        <v>211</v>
      </c>
      <c r="B12" s="2"/>
      <c r="C12" s="2"/>
      <c r="F12" s="74" t="s">
        <v>41</v>
      </c>
      <c r="G12" s="51">
        <f>COUNTIFS(Inputs!D4:D33,"Self-Employed",'Decision Output'!D4:D33,"Approve")</f>
        <v>6</v>
      </c>
      <c r="H12" s="75">
        <f>COUNTIFS(Inputs!D4:D33,"Self-Employed",'Decision Output'!D4:D33,"Decline")</f>
        <v>0</v>
      </c>
    </row>
    <row r="13" spans="1:8" x14ac:dyDescent="0.2">
      <c r="A13" s="17" t="s">
        <v>198</v>
      </c>
      <c r="B13" s="17" t="s">
        <v>212</v>
      </c>
      <c r="C13" s="17" t="s">
        <v>213</v>
      </c>
      <c r="F13" s="72" t="s">
        <v>44</v>
      </c>
      <c r="G13" s="55">
        <f>COUNTIFS(Inputs!D4:D33,"Fixed-Term Contract",'Decision Output'!D4:D33,"Approve")</f>
        <v>1</v>
      </c>
      <c r="H13" s="73">
        <f>COUNTIFS(Inputs!D4:D33,"Fixed-Term Contract",'Decision Output'!D4:D33,"Decline")</f>
        <v>5</v>
      </c>
    </row>
    <row r="14" spans="1:8" x14ac:dyDescent="0.2">
      <c r="A14" s="64" t="s">
        <v>214</v>
      </c>
      <c r="B14" s="76">
        <f>IFERROR(AVERAGE('Decision Output'!B4:B33),0)</f>
        <v>68.833333333333329</v>
      </c>
      <c r="C14" s="77">
        <f>IFERROR(AVERAGEIF('Decision Output'!D4:D33,"Approve",'Decision Output'!B4:B33),0)</f>
        <v>80.173913043478265</v>
      </c>
      <c r="F14" s="74" t="s">
        <v>49</v>
      </c>
      <c r="G14" s="51">
        <f>COUNTIFS(Inputs!D4:D33,"Unemployed",'Decision Output'!D4:D33,"Approve")</f>
        <v>0</v>
      </c>
      <c r="H14" s="75">
        <f>COUNTIFS(Inputs!D4:D33,"Unemployed",'Decision Output'!D4:D33,"Decline")</f>
        <v>2</v>
      </c>
    </row>
    <row r="15" spans="1:8" x14ac:dyDescent="0.2">
      <c r="A15" s="59" t="s">
        <v>215</v>
      </c>
      <c r="B15" s="60">
        <f>IFERROR(AVERAGE(Inputs!J4:J33),0)</f>
        <v>666.0333333333333</v>
      </c>
      <c r="C15" s="55">
        <f>IFERROR(AVERAGEIF('Decision Output'!D4:D33,"Approve",Inputs!J4:J33),0)</f>
        <v>696.13043478260875</v>
      </c>
    </row>
    <row r="16" spans="1:8" x14ac:dyDescent="0.2">
      <c r="A16" s="64" t="s">
        <v>216</v>
      </c>
      <c r="B16" s="78">
        <f>IFERROR(AVERAGE(Inputs!O4:O33),0)</f>
        <v>0.2320169387595058</v>
      </c>
      <c r="C16" s="79">
        <f>IFERROR(AVERAGEIF('Decision Output'!D4:D33,"Approve",Inputs!O4:O33),0)</f>
        <v>0.25085952722538335</v>
      </c>
      <c r="F16" s="2" t="s">
        <v>217</v>
      </c>
      <c r="G16" s="2"/>
      <c r="H16" s="2"/>
    </row>
    <row r="17" spans="1:8" x14ac:dyDescent="0.2">
      <c r="A17" s="59" t="s">
        <v>218</v>
      </c>
      <c r="B17" s="91">
        <f>IFERROR(AVERAGE(Inputs!P4:P33),0)</f>
        <v>14023.517974000972</v>
      </c>
      <c r="C17" s="57">
        <f>IFERROR(AVERAGEIF('Decision Output'!D4:D33,"Approve",Inputs!P4:P33),0)</f>
        <v>17849.382424244453</v>
      </c>
      <c r="F17" s="17" t="s">
        <v>21</v>
      </c>
      <c r="G17" s="17" t="s">
        <v>201</v>
      </c>
      <c r="H17" s="17" t="s">
        <v>219</v>
      </c>
    </row>
    <row r="18" spans="1:8" x14ac:dyDescent="0.2">
      <c r="F18" s="74" t="s">
        <v>36</v>
      </c>
      <c r="G18" s="42">
        <f>COUNTIF(Inputs!C4:C33,"Gauteng")</f>
        <v>13</v>
      </c>
      <c r="H18" s="24">
        <f>IFERROR(COUNTIFS(Inputs!C4:C33,"Gauteng",'Decision Output'!D4:D33,"Approve")/G18,0)</f>
        <v>0.92307692307692313</v>
      </c>
    </row>
    <row r="19" spans="1:8" x14ac:dyDescent="0.2">
      <c r="A19" s="2" t="s">
        <v>220</v>
      </c>
      <c r="B19" s="2"/>
      <c r="C19" s="2"/>
      <c r="F19" s="72" t="s">
        <v>39</v>
      </c>
      <c r="G19" s="47">
        <f>COUNTIF(Inputs!C4:C33,"Western Cape")</f>
        <v>8</v>
      </c>
      <c r="H19" s="30">
        <f>IFERROR(COUNTIFS(Inputs!C4:C33,"Western Cape",'Decision Output'!D4:D33,"Approve")/G19,0)</f>
        <v>1</v>
      </c>
    </row>
    <row r="20" spans="1:8" x14ac:dyDescent="0.2">
      <c r="A20" s="1" t="s">
        <v>221</v>
      </c>
      <c r="B20" s="1"/>
      <c r="C20" s="1"/>
      <c r="F20" s="74" t="s">
        <v>43</v>
      </c>
      <c r="G20" s="42">
        <f>COUNTIF(Inputs!C4:C33,"KwaZulu-Natal")</f>
        <v>4</v>
      </c>
      <c r="H20" s="24">
        <f>IFERROR(COUNTIFS(Inputs!C4:C33,"KwaZulu-Natal",'Decision Output'!D4:D33,"Approve")/G20,0)</f>
        <v>0.5</v>
      </c>
    </row>
    <row r="21" spans="1:8" x14ac:dyDescent="0.2">
      <c r="A21" s="80" t="s">
        <v>222</v>
      </c>
      <c r="B21" s="80" t="s">
        <v>201</v>
      </c>
      <c r="C21" s="80" t="s">
        <v>223</v>
      </c>
      <c r="F21" s="72" t="s">
        <v>48</v>
      </c>
      <c r="G21" s="47">
        <f>COUNTIF(Inputs!C4:C33,"Eastern Cape")</f>
        <v>2</v>
      </c>
      <c r="H21" s="30">
        <f>IFERROR(COUNTIFS(Inputs!C4:C33,"Eastern Cape",'Decision Output'!D4:D33,"Approve")/G21,0)</f>
        <v>0</v>
      </c>
    </row>
    <row r="22" spans="1:8" x14ac:dyDescent="0.2">
      <c r="A22" s="74" t="s">
        <v>224</v>
      </c>
      <c r="B22" s="42">
        <f>COUNTIF('Decision Output'!D4:D33,"Approve")</f>
        <v>23</v>
      </c>
      <c r="C22" s="24">
        <f>IFERROR(B22/B5,0)</f>
        <v>0.76666666666666672</v>
      </c>
      <c r="F22" s="74" t="s">
        <v>53</v>
      </c>
      <c r="G22" s="42">
        <f>COUNTIF(Inputs!C4:C33,"Limpopo")</f>
        <v>1</v>
      </c>
      <c r="H22" s="24">
        <f>IFERROR(COUNTIFS(Inputs!C4:C33,"Limpopo",'Decision Output'!D4:D33,"Approve")/G22,0)</f>
        <v>0</v>
      </c>
    </row>
    <row r="23" spans="1:8" x14ac:dyDescent="0.2">
      <c r="A23" s="72" t="s">
        <v>225</v>
      </c>
      <c r="B23" s="47">
        <f>COUNTIF('Decision Output'!D4:D33,"Review")</f>
        <v>0</v>
      </c>
      <c r="C23" s="30">
        <f>IFERROR(B23/B5,0)</f>
        <v>0</v>
      </c>
      <c r="F23" s="72" t="s">
        <v>60</v>
      </c>
      <c r="G23" s="47">
        <f>COUNTIF(Inputs!C4:C33,"North West")</f>
        <v>1</v>
      </c>
      <c r="H23" s="30">
        <f>IFERROR(COUNTIFS(Inputs!C4:C33,"North West",'Decision Output'!D4:D33,"Approve")/G23,0)</f>
        <v>1</v>
      </c>
    </row>
    <row r="24" spans="1:8" x14ac:dyDescent="0.2">
      <c r="A24" s="74" t="s">
        <v>226</v>
      </c>
      <c r="B24" s="42">
        <f>COUNTIF('Decision Output'!D4:D33,"Decline")</f>
        <v>7</v>
      </c>
      <c r="C24" s="24">
        <f>IFERROR(B24/B5,0)</f>
        <v>0.23333333333333334</v>
      </c>
      <c r="F24" s="74" t="s">
        <v>65</v>
      </c>
      <c r="G24" s="42">
        <f>COUNTIF(Inputs!C4:C33,"Mpumalanga")</f>
        <v>1</v>
      </c>
      <c r="H24" s="24">
        <f>IFERROR(COUNTIFS(Inputs!C4:C33,"Mpumalanga",'Decision Output'!D4:D33,"Approve")/G24,0)</f>
        <v>0</v>
      </c>
    </row>
    <row r="26" spans="1:8" x14ac:dyDescent="0.2">
      <c r="A26" s="1" t="s">
        <v>227</v>
      </c>
      <c r="B26" s="1"/>
      <c r="C26" s="1"/>
    </row>
    <row r="27" spans="1:8" x14ac:dyDescent="0.2">
      <c r="A27" s="80" t="s">
        <v>228</v>
      </c>
      <c r="B27" s="80" t="s">
        <v>201</v>
      </c>
      <c r="C27" s="80"/>
    </row>
    <row r="28" spans="1:8" x14ac:dyDescent="0.2">
      <c r="A28" s="74" t="s">
        <v>229</v>
      </c>
      <c r="B28" s="42">
        <f>COUNTIFS('Decision Output'!B4:B33,"&gt;=0",'Decision Output'!B4:B33,"&lt;30")</f>
        <v>2</v>
      </c>
    </row>
    <row r="29" spans="1:8" x14ac:dyDescent="0.2">
      <c r="A29" s="72" t="s">
        <v>230</v>
      </c>
      <c r="B29" s="47">
        <f>COUNTIFS('Decision Output'!B4:B33,"&gt;=30",'Decision Output'!B4:B33,"&lt;50")</f>
        <v>6</v>
      </c>
    </row>
    <row r="30" spans="1:8" x14ac:dyDescent="0.2">
      <c r="A30" s="74" t="s">
        <v>231</v>
      </c>
      <c r="B30" s="42">
        <f>COUNTIFS('Decision Output'!B4:B33,"&gt;=50",'Decision Output'!B4:B33,"&lt;68")</f>
        <v>4</v>
      </c>
    </row>
    <row r="31" spans="1:8" x14ac:dyDescent="0.2">
      <c r="A31" s="72" t="s">
        <v>232</v>
      </c>
      <c r="B31" s="47">
        <f>COUNTIFS('Decision Output'!B4:B33,"&gt;=68",'Decision Output'!B4:B33,"&lt;85")</f>
        <v>7</v>
      </c>
    </row>
    <row r="32" spans="1:8" x14ac:dyDescent="0.2">
      <c r="A32" s="74" t="s">
        <v>233</v>
      </c>
      <c r="B32" s="42">
        <f>COUNTIFS('Decision Output'!B4:B33,"&gt;=85",'Decision Output'!B4:B33,"&lt;101")</f>
        <v>11</v>
      </c>
    </row>
  </sheetData>
  <mergeCells count="9">
    <mergeCell ref="F16:H16"/>
    <mergeCell ref="A19:C19"/>
    <mergeCell ref="A20:C20"/>
    <mergeCell ref="A26:C26"/>
    <mergeCell ref="A1:H1"/>
    <mergeCell ref="A3:C3"/>
    <mergeCell ref="F3:H3"/>
    <mergeCell ref="F9:H9"/>
    <mergeCell ref="A12:C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04040"/>
  </sheetPr>
  <dimension ref="A1:A52"/>
  <sheetViews>
    <sheetView showGridLines="0" topLeftCell="A19" zoomScaleNormal="100" workbookViewId="0">
      <selection activeCell="A38" sqref="A38"/>
    </sheetView>
  </sheetViews>
  <sheetFormatPr baseColWidth="10" defaultColWidth="8.6640625" defaultRowHeight="15" x14ac:dyDescent="0.2"/>
  <cols>
    <col min="1" max="1" width="255.83203125" bestFit="1" customWidth="1"/>
  </cols>
  <sheetData>
    <row r="1" spans="1:1" ht="19" x14ac:dyDescent="0.2">
      <c r="A1" s="81" t="s">
        <v>234</v>
      </c>
    </row>
    <row r="3" spans="1:1" ht="16" x14ac:dyDescent="0.2">
      <c r="A3" s="82" t="s">
        <v>235</v>
      </c>
    </row>
    <row r="4" spans="1:1" ht="30" x14ac:dyDescent="0.2">
      <c r="A4" s="83" t="s">
        <v>236</v>
      </c>
    </row>
    <row r="5" spans="1:1" ht="16" x14ac:dyDescent="0.2">
      <c r="A5" s="82" t="s">
        <v>237</v>
      </c>
    </row>
    <row r="6" spans="1:1" x14ac:dyDescent="0.2">
      <c r="A6" s="83" t="s">
        <v>238</v>
      </c>
    </row>
    <row r="7" spans="1:1" x14ac:dyDescent="0.2">
      <c r="A7" s="83" t="s">
        <v>239</v>
      </c>
    </row>
    <row r="8" spans="1:1" x14ac:dyDescent="0.2">
      <c r="A8" s="83" t="s">
        <v>240</v>
      </c>
    </row>
    <row r="9" spans="1:1" x14ac:dyDescent="0.2">
      <c r="A9" s="83" t="s">
        <v>241</v>
      </c>
    </row>
    <row r="10" spans="1:1" x14ac:dyDescent="0.2">
      <c r="A10" s="83" t="s">
        <v>242</v>
      </c>
    </row>
    <row r="11" spans="1:1" ht="16" x14ac:dyDescent="0.2">
      <c r="A11" s="82" t="s">
        <v>243</v>
      </c>
    </row>
    <row r="12" spans="1:1" x14ac:dyDescent="0.2">
      <c r="A12" s="84" t="s">
        <v>244</v>
      </c>
    </row>
    <row r="13" spans="1:1" x14ac:dyDescent="0.2">
      <c r="A13" s="84" t="s">
        <v>245</v>
      </c>
    </row>
    <row r="14" spans="1:1" x14ac:dyDescent="0.2">
      <c r="A14" s="84" t="s">
        <v>246</v>
      </c>
    </row>
    <row r="15" spans="1:1" x14ac:dyDescent="0.2">
      <c r="A15" s="84" t="s">
        <v>247</v>
      </c>
    </row>
    <row r="16" spans="1:1" x14ac:dyDescent="0.2">
      <c r="A16" s="84" t="s">
        <v>248</v>
      </c>
    </row>
    <row r="17" spans="1:1" x14ac:dyDescent="0.2">
      <c r="A17" s="84" t="s">
        <v>249</v>
      </c>
    </row>
    <row r="18" spans="1:1" ht="16" x14ac:dyDescent="0.2">
      <c r="A18" s="82" t="s">
        <v>250</v>
      </c>
    </row>
    <row r="19" spans="1:1" x14ac:dyDescent="0.2">
      <c r="A19" s="83" t="s">
        <v>251</v>
      </c>
    </row>
    <row r="20" spans="1:1" x14ac:dyDescent="0.2">
      <c r="A20" s="83"/>
    </row>
    <row r="21" spans="1:1" x14ac:dyDescent="0.2">
      <c r="A21" s="85" t="s">
        <v>252</v>
      </c>
    </row>
    <row r="22" spans="1:1" x14ac:dyDescent="0.2">
      <c r="A22" s="83" t="s">
        <v>253</v>
      </c>
    </row>
    <row r="23" spans="1:1" x14ac:dyDescent="0.2">
      <c r="A23" s="83" t="s">
        <v>254</v>
      </c>
    </row>
    <row r="24" spans="1:1" x14ac:dyDescent="0.2">
      <c r="A24" s="83" t="s">
        <v>255</v>
      </c>
    </row>
    <row r="25" spans="1:1" x14ac:dyDescent="0.2">
      <c r="A25" s="83" t="s">
        <v>256</v>
      </c>
    </row>
    <row r="26" spans="1:1" x14ac:dyDescent="0.2">
      <c r="A26" s="83" t="s">
        <v>257</v>
      </c>
    </row>
    <row r="27" spans="1:1" x14ac:dyDescent="0.2">
      <c r="A27" s="83" t="s">
        <v>258</v>
      </c>
    </row>
    <row r="28" spans="1:1" ht="16" x14ac:dyDescent="0.2">
      <c r="A28" s="82" t="s">
        <v>259</v>
      </c>
    </row>
    <row r="29" spans="1:1" x14ac:dyDescent="0.2">
      <c r="A29" s="86" t="s">
        <v>260</v>
      </c>
    </row>
    <row r="30" spans="1:1" x14ac:dyDescent="0.2">
      <c r="A30" s="87" t="s">
        <v>261</v>
      </c>
    </row>
    <row r="31" spans="1:1" x14ac:dyDescent="0.2">
      <c r="A31" s="88" t="s">
        <v>262</v>
      </c>
    </row>
    <row r="32" spans="1:1" x14ac:dyDescent="0.2">
      <c r="A32" s="89" t="s">
        <v>263</v>
      </c>
    </row>
    <row r="33" spans="1:1" ht="16" x14ac:dyDescent="0.2">
      <c r="A33" s="82" t="s">
        <v>264</v>
      </c>
    </row>
    <row r="34" spans="1:1" x14ac:dyDescent="0.2">
      <c r="A34" s="83" t="s">
        <v>265</v>
      </c>
    </row>
    <row r="35" spans="1:1" x14ac:dyDescent="0.2">
      <c r="A35" s="83" t="s">
        <v>266</v>
      </c>
    </row>
    <row r="36" spans="1:1" x14ac:dyDescent="0.2">
      <c r="A36" s="83" t="s">
        <v>267</v>
      </c>
    </row>
    <row r="37" spans="1:1" x14ac:dyDescent="0.2">
      <c r="A37" s="83" t="s">
        <v>268</v>
      </c>
    </row>
    <row r="38" spans="1:1" x14ac:dyDescent="0.2">
      <c r="A38" s="83" t="s">
        <v>269</v>
      </c>
    </row>
    <row r="39" spans="1:1" ht="16" x14ac:dyDescent="0.2">
      <c r="A39" s="82" t="s">
        <v>270</v>
      </c>
    </row>
    <row r="40" spans="1:1" x14ac:dyDescent="0.2">
      <c r="A40" s="83" t="s">
        <v>271</v>
      </c>
    </row>
    <row r="41" spans="1:1" x14ac:dyDescent="0.2">
      <c r="A41" s="83" t="s">
        <v>272</v>
      </c>
    </row>
    <row r="42" spans="1:1" x14ac:dyDescent="0.2">
      <c r="A42" s="83" t="s">
        <v>273</v>
      </c>
    </row>
    <row r="43" spans="1:1" x14ac:dyDescent="0.2">
      <c r="A43" s="83" t="s">
        <v>274</v>
      </c>
    </row>
    <row r="44" spans="1:1" x14ac:dyDescent="0.2">
      <c r="A44" s="83" t="s">
        <v>275</v>
      </c>
    </row>
    <row r="45" spans="1:1" ht="16" x14ac:dyDescent="0.2">
      <c r="A45" s="82" t="s">
        <v>276</v>
      </c>
    </row>
    <row r="46" spans="1:1" x14ac:dyDescent="0.2">
      <c r="A46" s="83" t="s">
        <v>277</v>
      </c>
    </row>
    <row r="47" spans="1:1" x14ac:dyDescent="0.2">
      <c r="A47" s="83" t="s">
        <v>278</v>
      </c>
    </row>
    <row r="48" spans="1:1" x14ac:dyDescent="0.2">
      <c r="A48" s="83" t="s">
        <v>279</v>
      </c>
    </row>
    <row r="49" spans="1:1" x14ac:dyDescent="0.2">
      <c r="A49" s="83" t="s">
        <v>280</v>
      </c>
    </row>
    <row r="50" spans="1:1" x14ac:dyDescent="0.2">
      <c r="A50" s="83" t="s">
        <v>281</v>
      </c>
    </row>
    <row r="51" spans="1:1" x14ac:dyDescent="0.2">
      <c r="A51" s="83"/>
    </row>
    <row r="52" spans="1:1" x14ac:dyDescent="0.2">
      <c r="A52" s="85" t="s">
        <v>282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Assumptions</vt:lpstr>
      <vt:lpstr>Inputs</vt:lpstr>
      <vt:lpstr>Scorecard Logic</vt:lpstr>
      <vt:lpstr>Decision Output</vt:lpstr>
      <vt:lpstr>Dashboard Data</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Siphesihle Gwebu</cp:lastModifiedBy>
  <cp:revision>0</cp:revision>
  <dcterms:created xsi:type="dcterms:W3CDTF">2026-04-04T16:03:36Z</dcterms:created>
  <dcterms:modified xsi:type="dcterms:W3CDTF">2026-04-05T07:26:37Z</dcterms:modified>
  <dc:language>en-US</dc:language>
</cp:coreProperties>
</file>